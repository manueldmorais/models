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en" sheetId="1" r:id="rId4"/>
    <sheet state="visible" name="Metrics" sheetId="2" r:id="rId5"/>
    <sheet state="visible" name="Funding" sheetId="3" r:id="rId6"/>
    <sheet state="visible" name="Model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3">
      <text>
        <t xml:space="preserve">massive increase in operating expenses due to SBC
	-Manuel</t>
      </text>
    </comment>
    <comment authorId="0" ref="H14">
      <text>
        <t xml:space="preserve">$1.0 billion termination fee received due to the Abandoned Merger with Adobe
	-Manuel</t>
      </text>
    </comment>
  </commentList>
</comments>
</file>

<file path=xl/sharedStrings.xml><?xml version="1.0" encoding="utf-8"?>
<sst xmlns="http://schemas.openxmlformats.org/spreadsheetml/2006/main" count="60" uniqueCount="60">
  <si>
    <t xml:space="preserve">Founded </t>
  </si>
  <si>
    <t>31/07/25</t>
  </si>
  <si>
    <t>Launched</t>
  </si>
  <si>
    <t xml:space="preserve">Price </t>
  </si>
  <si>
    <t>Headcount</t>
  </si>
  <si>
    <t>SHARES OUT</t>
  </si>
  <si>
    <t>MC</t>
  </si>
  <si>
    <t xml:space="preserve">CASH </t>
  </si>
  <si>
    <t xml:space="preserve">DEBT </t>
  </si>
  <si>
    <t>EV</t>
  </si>
  <si>
    <t>Net Cash</t>
  </si>
  <si>
    <t>NOTES:</t>
  </si>
  <si>
    <t>Net Dollar Retention Rate</t>
  </si>
  <si>
    <t>Year</t>
  </si>
  <si>
    <t>Round Name</t>
  </si>
  <si>
    <t>Amount</t>
  </si>
  <si>
    <t>Valuation</t>
  </si>
  <si>
    <t>Investors</t>
  </si>
  <si>
    <t>Series F</t>
  </si>
  <si>
    <t>416m</t>
  </si>
  <si>
    <t>Series E</t>
  </si>
  <si>
    <t>200m</t>
  </si>
  <si>
    <t>10B</t>
  </si>
  <si>
    <t>Series D</t>
  </si>
  <si>
    <t>50m</t>
  </si>
  <si>
    <t>2B</t>
  </si>
  <si>
    <t>Andreessen Horowitz</t>
  </si>
  <si>
    <t>Series C</t>
  </si>
  <si>
    <t>40m</t>
  </si>
  <si>
    <t>Sequoia</t>
  </si>
  <si>
    <t>Series B</t>
  </si>
  <si>
    <t>25m</t>
  </si>
  <si>
    <t>Series A</t>
  </si>
  <si>
    <t>14m</t>
  </si>
  <si>
    <t>Seed</t>
  </si>
  <si>
    <t>3.87m</t>
  </si>
  <si>
    <t>FORECAST</t>
  </si>
  <si>
    <t>in thousands</t>
  </si>
  <si>
    <t>Revenue</t>
  </si>
  <si>
    <t>COGS</t>
  </si>
  <si>
    <t>Gross Profit</t>
  </si>
  <si>
    <t>R&amp;D</t>
  </si>
  <si>
    <t>S&amp;M</t>
  </si>
  <si>
    <t>G&amp;A</t>
  </si>
  <si>
    <t>Income from operations</t>
  </si>
  <si>
    <t>Other Income</t>
  </si>
  <si>
    <t>Income before taxes</t>
  </si>
  <si>
    <t>Taxes</t>
  </si>
  <si>
    <t>Net Income</t>
  </si>
  <si>
    <t>Gross Profit %</t>
  </si>
  <si>
    <t>Operating Income %</t>
  </si>
  <si>
    <t>Net Income %</t>
  </si>
  <si>
    <t xml:space="preserve">Revenue Growth </t>
  </si>
  <si>
    <t>Maturity</t>
  </si>
  <si>
    <t>Discount</t>
  </si>
  <si>
    <t>NPV</t>
  </si>
  <si>
    <t>Shares Out.</t>
  </si>
  <si>
    <t>FV</t>
  </si>
  <si>
    <t>Current</t>
  </si>
  <si>
    <t>Upside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</si>
</sst>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&quot;$&quot;#,##0"/>
    <numFmt numFmtId="166" formatCode="&quot;$&quot;#,##0.00"/>
    <numFmt numFmtId="167" formatCode="_(&quot;$&quot;* #,##0_);_(&quot;$&quot;* \(#,##0\);_(&quot;$&quot;* &quot;-&quot;??_);_(@_)"/>
    <numFmt numFmtId="168" formatCode="_(&quot;$&quot;* #,##0.00_);_(&quot;$&quot;* \(#,##0.00\);_(&quot;$&quot;* &quot;-&quot;??_);_(@_)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164" xfId="0" applyAlignment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165" xfId="0" applyBorder="1" applyFont="1" applyNumberFormat="1"/>
    <xf borderId="1" fillId="0" fontId="1" numFmtId="165" xfId="0" applyAlignment="1" applyBorder="1" applyFont="1" applyNumberFormat="1">
      <alignment readingOrder="0"/>
    </xf>
    <xf borderId="0" fillId="2" fontId="2" numFmtId="0" xfId="0" applyAlignment="1" applyFill="1" applyFont="1">
      <alignment horizontal="left" readingOrder="0"/>
    </xf>
    <xf borderId="2" fillId="0" fontId="1" numFmtId="0" xfId="0" applyAlignment="1" applyBorder="1" applyFont="1">
      <alignment readingOrder="0"/>
    </xf>
    <xf borderId="3" fillId="0" fontId="1" numFmtId="165" xfId="0" applyBorder="1" applyFont="1" applyNumberFormat="1"/>
    <xf borderId="0" fillId="0" fontId="1" numFmtId="9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10" xfId="0" applyAlignment="1" applyFont="1" applyNumberFormat="1">
      <alignment horizontal="left"/>
    </xf>
    <xf borderId="0" fillId="0" fontId="1" numFmtId="10" xfId="0" applyFont="1" applyNumberFormat="1"/>
    <xf borderId="0" fillId="0" fontId="1" numFmtId="0" xfId="0" applyFont="1"/>
    <xf borderId="0" fillId="0" fontId="1" numFmtId="167" xfId="0" applyFont="1" applyNumberFormat="1"/>
    <xf borderId="4" fillId="0" fontId="1" numFmtId="168" xfId="0" applyBorder="1" applyFont="1" applyNumberFormat="1"/>
    <xf borderId="0" fillId="0" fontId="1" numFmtId="4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4" fillId="0" fontId="1" numFmtId="167" xfId="0" applyAlignment="1" applyBorder="1" applyFont="1" applyNumberFormat="1">
      <alignment readingOrder="0"/>
    </xf>
    <xf borderId="0" fillId="0" fontId="1" numFmtId="168" xfId="0" applyFont="1" applyNumberFormat="1"/>
    <xf borderId="5" fillId="0" fontId="1" numFmtId="168" xfId="0" applyAlignment="1" applyBorder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2" fontId="1" numFmtId="4" xfId="0" applyAlignment="1" applyFont="1" applyNumberFormat="1">
      <alignment readingOrder="0"/>
    </xf>
    <xf borderId="0" fillId="2" fontId="1" numFmtId="168" xfId="0" applyAlignment="1" applyFont="1" applyNumberFormat="1">
      <alignment readingOrder="0"/>
    </xf>
    <xf borderId="0" fillId="2" fontId="1" numFmtId="167" xfId="0" applyAlignment="1" applyFont="1" applyNumberFormat="1">
      <alignment readingOrder="0"/>
    </xf>
    <xf borderId="4" fillId="2" fontId="1" numFmtId="167" xfId="0" applyAlignment="1" applyBorder="1" applyFont="1" applyNumberFormat="1">
      <alignment readingOrder="0"/>
    </xf>
    <xf borderId="4" fillId="2" fontId="1" numFmtId="167" xfId="0" applyBorder="1" applyFont="1" applyNumberFormat="1"/>
    <xf borderId="0" fillId="2" fontId="1" numFmtId="10" xfId="0" applyAlignment="1" applyFont="1" applyNumberFormat="1">
      <alignment readingOrder="0"/>
    </xf>
    <xf borderId="4" fillId="2" fontId="1" numFmtId="10" xfId="0" applyAlignment="1" applyBorder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2" fontId="1" numFmtId="9" xfId="0" applyAlignment="1" applyFont="1" applyNumberFormat="1">
      <alignment readingOrder="0"/>
    </xf>
    <xf borderId="4" fillId="2" fontId="1" numFmtId="9" xfId="0" applyAlignment="1" applyBorder="1" applyFont="1" applyNumberFormat="1">
      <alignment readingOrder="0"/>
    </xf>
    <xf borderId="0" fillId="0" fontId="1" numFmtId="9" xfId="0" applyFont="1" applyNumberFormat="1"/>
    <xf borderId="4" fillId="2" fontId="1" numFmtId="168" xfId="0" applyAlignment="1" applyBorder="1" applyFont="1" applyNumberFormat="1">
      <alignment readingOrder="0"/>
    </xf>
    <xf borderId="5" fillId="2" fontId="1" numFmtId="10" xfId="0" applyAlignment="1" applyBorder="1" applyFont="1" applyNumberFormat="1">
      <alignment readingOrder="0"/>
    </xf>
    <xf borderId="4" fillId="2" fontId="1" numFmtId="4" xfId="0" applyBorder="1" applyFont="1" applyNumberFormat="1"/>
    <xf borderId="4" fillId="2" fontId="1" numFmtId="4" xfId="0" applyAlignment="1" applyBorder="1" applyFont="1" applyNumberFormat="1">
      <alignment readingOrder="0"/>
    </xf>
    <xf borderId="0" fillId="0" fontId="3" numFmtId="4" xfId="0" applyAlignment="1" applyFont="1" applyNumberFormat="1">
      <alignment horizontal="right" readingOrder="0" shrinkToFit="0" vertical="bottom" wrapText="1"/>
    </xf>
    <xf borderId="0" fillId="0" fontId="3" numFmtId="4" xfId="0" applyAlignment="1" applyFont="1" applyNumberFormat="1">
      <alignment horizontal="right" shrinkToFit="0" vertical="bottom" wrapText="1"/>
    </xf>
    <xf borderId="4" fillId="0" fontId="3" numFmtId="4" xfId="0" applyBorder="1" applyFont="1" applyNumberFormat="1"/>
    <xf borderId="1" fillId="0" fontId="1" numFmtId="9" xfId="0" applyAlignment="1" applyBorder="1" applyFont="1" applyNumberFormat="1">
      <alignment readingOrder="0"/>
    </xf>
    <xf borderId="4" fillId="0" fontId="3" numFmtId="4" xfId="0" applyAlignment="1" applyBorder="1" applyFont="1" applyNumberFormat="1">
      <alignment readingOrder="0"/>
    </xf>
    <xf borderId="1" fillId="0" fontId="1" numFmtId="166" xfId="0" applyBorder="1" applyFont="1" applyNumberFormat="1"/>
    <xf borderId="4" fillId="0" fontId="1" numFmtId="4" xfId="0" applyBorder="1" applyFont="1" applyNumberFormat="1"/>
    <xf borderId="0" fillId="2" fontId="1" numFmtId="0" xfId="0" applyFont="1"/>
    <xf borderId="0" fillId="2" fontId="3" numFmtId="4" xfId="0" applyAlignment="1" applyFont="1" applyNumberFormat="1">
      <alignment horizontal="right" readingOrder="0" shrinkToFit="0" vertical="bottom" wrapText="1"/>
    </xf>
    <xf borderId="0" fillId="2" fontId="3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4" xfId="0" applyFont="1" applyNumberFormat="1"/>
    <xf borderId="0" fillId="2" fontId="1" numFmtId="165" xfId="0" applyAlignment="1" applyFont="1" applyNumberFormat="1">
      <alignment readingOrder="0"/>
    </xf>
    <xf borderId="0" fillId="2" fontId="1" numFmtId="167" xfId="0" applyFont="1" applyNumberFormat="1"/>
    <xf borderId="0" fillId="2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13.13"/>
  </cols>
  <sheetData>
    <row r="2">
      <c r="A2" s="1"/>
      <c r="F2" s="2" t="s">
        <v>0</v>
      </c>
      <c r="G2" s="3">
        <v>2012.0</v>
      </c>
      <c r="I2" s="4"/>
      <c r="J2" s="5"/>
      <c r="K2" s="2" t="s">
        <v>1</v>
      </c>
    </row>
    <row r="3">
      <c r="D3" s="6"/>
      <c r="F3" s="2" t="s">
        <v>2</v>
      </c>
      <c r="G3" s="3">
        <v>2016.0</v>
      </c>
      <c r="I3" s="4" t="s">
        <v>3</v>
      </c>
      <c r="J3" s="4">
        <v>32.0</v>
      </c>
    </row>
    <row r="4">
      <c r="F4" s="2" t="s">
        <v>4</v>
      </c>
      <c r="G4" s="3">
        <v>1646.0</v>
      </c>
      <c r="I4" s="4" t="s">
        <v>5</v>
      </c>
      <c r="J4" s="7">
        <v>587500.0</v>
      </c>
    </row>
    <row r="5">
      <c r="A5" s="1"/>
      <c r="B5" s="8"/>
      <c r="I5" s="4" t="s">
        <v>6</v>
      </c>
      <c r="J5" s="9">
        <f>J3*J4</f>
        <v>18800000</v>
      </c>
    </row>
    <row r="6">
      <c r="I6" s="4" t="s">
        <v>7</v>
      </c>
      <c r="J6" s="10">
        <v>1541.0</v>
      </c>
    </row>
    <row r="7">
      <c r="A7" s="11"/>
      <c r="I7" s="4" t="s">
        <v>8</v>
      </c>
      <c r="J7" s="4">
        <v>0.0</v>
      </c>
    </row>
    <row r="8">
      <c r="I8" s="4" t="s">
        <v>9</v>
      </c>
      <c r="J8" s="9">
        <f>J5+J7-J6</f>
        <v>18798459</v>
      </c>
    </row>
    <row r="10">
      <c r="I10" s="12" t="s">
        <v>10</v>
      </c>
      <c r="J10" s="13">
        <f>J6-J7</f>
        <v>1541</v>
      </c>
    </row>
    <row r="17">
      <c r="A17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1.13"/>
  </cols>
  <sheetData>
    <row r="2">
      <c r="C2" s="2">
        <v>2023.0</v>
      </c>
      <c r="D2" s="2">
        <v>2024.0</v>
      </c>
    </row>
    <row r="4">
      <c r="A4" s="2" t="s">
        <v>12</v>
      </c>
      <c r="C4" s="14">
        <v>1.22</v>
      </c>
      <c r="D4" s="14">
        <v>1.34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C5" s="15"/>
      <c r="D5" s="15"/>
      <c r="E5" s="15"/>
      <c r="F5" s="3"/>
      <c r="G5" s="3"/>
      <c r="H5" s="3"/>
      <c r="I5" s="3"/>
      <c r="J5" s="3"/>
      <c r="K5" s="3"/>
      <c r="L5" s="3"/>
      <c r="M5" s="3"/>
      <c r="N5" s="3"/>
    </row>
    <row r="6" ht="15.75" customHeight="1">
      <c r="C6" s="16"/>
      <c r="D6" s="17"/>
      <c r="E6" s="17"/>
      <c r="F6" s="16"/>
      <c r="G6" s="16"/>
      <c r="H6" s="16"/>
      <c r="I6" s="16"/>
      <c r="J6" s="16"/>
      <c r="K6" s="16"/>
      <c r="L6" s="16"/>
      <c r="M6" s="16"/>
      <c r="N6" s="16"/>
    </row>
    <row r="7" ht="15.75" customHeight="1">
      <c r="A7" s="2"/>
      <c r="C7" s="16"/>
      <c r="D7" s="17"/>
      <c r="E7" s="17"/>
      <c r="F7" s="16"/>
      <c r="G7" s="16"/>
      <c r="H7" s="16"/>
      <c r="I7" s="16"/>
      <c r="J7" s="16"/>
      <c r="K7" s="16"/>
      <c r="L7" s="16"/>
      <c r="M7" s="16"/>
      <c r="N7" s="16"/>
    </row>
    <row r="8" ht="12.75" customHeight="1"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ht="12.75" customHeight="1"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>
      <c r="C10" s="3"/>
      <c r="D10" s="3"/>
      <c r="E10" s="3"/>
      <c r="F10" s="16"/>
      <c r="G10" s="16"/>
      <c r="H10" s="16"/>
      <c r="I10" s="16"/>
      <c r="J10" s="16"/>
      <c r="K10" s="16"/>
      <c r="L10" s="16"/>
      <c r="M10" s="16"/>
      <c r="N10" s="16"/>
    </row>
    <row r="11">
      <c r="C11" s="15"/>
      <c r="D11" s="15"/>
      <c r="E11" s="15"/>
      <c r="F11" s="16"/>
      <c r="G11" s="16"/>
      <c r="H11" s="16"/>
      <c r="I11" s="16"/>
      <c r="J11" s="16"/>
      <c r="K11" s="16"/>
      <c r="L11" s="16"/>
      <c r="M11" s="16"/>
      <c r="N11" s="16"/>
    </row>
    <row r="12">
      <c r="A12" s="2"/>
      <c r="C12" s="3"/>
      <c r="D12" s="17"/>
      <c r="E12" s="17"/>
      <c r="F12" s="3"/>
      <c r="G12" s="3"/>
      <c r="H12" s="3"/>
      <c r="I12" s="3"/>
      <c r="J12" s="3"/>
      <c r="K12" s="3"/>
      <c r="L12" s="3"/>
      <c r="M12" s="3"/>
      <c r="N12" s="3"/>
    </row>
    <row r="13">
      <c r="A13" s="2"/>
      <c r="C13" s="3"/>
      <c r="D13" s="17"/>
      <c r="E13" s="17"/>
      <c r="F13" s="3"/>
      <c r="G13" s="3"/>
      <c r="H13" s="3"/>
      <c r="I13" s="3"/>
      <c r="J13" s="3"/>
      <c r="K13" s="3"/>
      <c r="L13" s="3"/>
      <c r="M13" s="3"/>
      <c r="N13" s="3"/>
    </row>
    <row r="14"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7">
      <c r="A17" s="2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>
      <c r="A18" s="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>
      <c r="A19" s="2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>
      <c r="A20" s="2"/>
    </row>
    <row r="21">
      <c r="A21" s="2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>
      <c r="A22" s="2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>
      <c r="A23" s="2"/>
    </row>
    <row r="24">
      <c r="A24" s="2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>
      <c r="A26" s="2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38"/>
  </cols>
  <sheetData>
    <row r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>
      <c r="A2" s="2">
        <v>2024.0</v>
      </c>
      <c r="B2" s="2" t="s">
        <v>18</v>
      </c>
      <c r="C2" s="2" t="s">
        <v>19</v>
      </c>
    </row>
    <row r="3">
      <c r="A3" s="2">
        <v>2021.0</v>
      </c>
      <c r="B3" s="2" t="s">
        <v>20</v>
      </c>
      <c r="C3" s="2" t="s">
        <v>21</v>
      </c>
      <c r="D3" s="2" t="s">
        <v>22</v>
      </c>
    </row>
    <row r="4">
      <c r="A4" s="2">
        <v>2020.0</v>
      </c>
      <c r="B4" s="2" t="s">
        <v>23</v>
      </c>
      <c r="C4" s="2" t="s">
        <v>24</v>
      </c>
      <c r="D4" s="2" t="s">
        <v>25</v>
      </c>
      <c r="E4" s="2" t="s">
        <v>26</v>
      </c>
    </row>
    <row r="5">
      <c r="A5" s="2">
        <v>2019.0</v>
      </c>
      <c r="B5" s="2" t="s">
        <v>27</v>
      </c>
      <c r="C5" s="2" t="s">
        <v>28</v>
      </c>
      <c r="E5" s="2" t="s">
        <v>29</v>
      </c>
    </row>
    <row r="6">
      <c r="A6" s="2">
        <v>2018.0</v>
      </c>
      <c r="B6" s="2" t="s">
        <v>30</v>
      </c>
      <c r="C6" s="2" t="s">
        <v>31</v>
      </c>
    </row>
    <row r="7">
      <c r="A7" s="2">
        <v>2014.0</v>
      </c>
      <c r="B7" s="2" t="s">
        <v>32</v>
      </c>
      <c r="C7" s="2" t="s">
        <v>33</v>
      </c>
    </row>
    <row r="8">
      <c r="A8" s="2">
        <v>2013.0</v>
      </c>
      <c r="B8" s="2" t="s">
        <v>34</v>
      </c>
      <c r="C8" s="2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1.0"/>
    <col customWidth="1" min="6" max="7" width="13.75"/>
  </cols>
  <sheetData>
    <row r="1">
      <c r="J1" s="2" t="s">
        <v>36</v>
      </c>
    </row>
    <row r="2">
      <c r="A2" s="2" t="s">
        <v>37</v>
      </c>
      <c r="H2" s="2">
        <v>2023.0</v>
      </c>
      <c r="I2" s="2">
        <v>2024.0</v>
      </c>
      <c r="J2" s="19">
        <f t="shared" ref="J2:AJ2" si="1">I2+1</f>
        <v>2025</v>
      </c>
      <c r="K2" s="19">
        <f t="shared" si="1"/>
        <v>2026</v>
      </c>
      <c r="L2" s="19">
        <f t="shared" si="1"/>
        <v>2027</v>
      </c>
      <c r="M2" s="19">
        <f t="shared" si="1"/>
        <v>2028</v>
      </c>
      <c r="N2" s="19">
        <f t="shared" si="1"/>
        <v>2029</v>
      </c>
      <c r="O2" s="19">
        <f t="shared" si="1"/>
        <v>2030</v>
      </c>
      <c r="P2" s="19">
        <f t="shared" si="1"/>
        <v>2031</v>
      </c>
      <c r="Q2" s="19">
        <f t="shared" si="1"/>
        <v>2032</v>
      </c>
      <c r="R2" s="19">
        <f t="shared" si="1"/>
        <v>2033</v>
      </c>
      <c r="S2" s="19">
        <f t="shared" si="1"/>
        <v>2034</v>
      </c>
      <c r="T2" s="19">
        <f t="shared" si="1"/>
        <v>2035</v>
      </c>
      <c r="U2" s="19">
        <f t="shared" si="1"/>
        <v>2036</v>
      </c>
      <c r="V2" s="19">
        <f t="shared" si="1"/>
        <v>2037</v>
      </c>
      <c r="W2" s="19">
        <f t="shared" si="1"/>
        <v>2038</v>
      </c>
      <c r="X2" s="19">
        <f t="shared" si="1"/>
        <v>2039</v>
      </c>
      <c r="Y2" s="19">
        <f t="shared" si="1"/>
        <v>2040</v>
      </c>
      <c r="Z2" s="19">
        <f t="shared" si="1"/>
        <v>2041</v>
      </c>
      <c r="AA2" s="19">
        <f t="shared" si="1"/>
        <v>2042</v>
      </c>
      <c r="AB2" s="19">
        <f t="shared" si="1"/>
        <v>2043</v>
      </c>
      <c r="AC2" s="19">
        <f t="shared" si="1"/>
        <v>2044</v>
      </c>
      <c r="AD2" s="19">
        <f t="shared" si="1"/>
        <v>2045</v>
      </c>
      <c r="AE2" s="19">
        <f t="shared" si="1"/>
        <v>2046</v>
      </c>
      <c r="AF2" s="19">
        <f t="shared" si="1"/>
        <v>2047</v>
      </c>
      <c r="AG2" s="19">
        <f t="shared" si="1"/>
        <v>2048</v>
      </c>
      <c r="AH2" s="19">
        <f t="shared" si="1"/>
        <v>2049</v>
      </c>
      <c r="AI2" s="19">
        <f t="shared" si="1"/>
        <v>2050</v>
      </c>
      <c r="AJ2" s="19">
        <f t="shared" si="1"/>
        <v>2051</v>
      </c>
    </row>
    <row r="3">
      <c r="A3" s="2"/>
      <c r="F3" s="20"/>
      <c r="G3" s="20"/>
      <c r="H3" s="20"/>
      <c r="I3" s="21"/>
    </row>
    <row r="4">
      <c r="A4" s="2" t="s">
        <v>38</v>
      </c>
      <c r="B4" s="22"/>
      <c r="C4" s="22"/>
      <c r="D4" s="22"/>
      <c r="E4" s="22"/>
      <c r="F4" s="23"/>
      <c r="G4" s="23"/>
      <c r="H4" s="24">
        <v>504874.0</v>
      </c>
      <c r="I4" s="25">
        <v>749011.0</v>
      </c>
      <c r="J4" s="23">
        <f t="shared" ref="J4:T4" si="2">I4*(1+J24)</f>
        <v>1123516.5</v>
      </c>
      <c r="K4" s="23">
        <f t="shared" si="2"/>
        <v>1685274.75</v>
      </c>
      <c r="L4" s="23">
        <f t="shared" si="2"/>
        <v>2359384.65</v>
      </c>
      <c r="M4" s="23">
        <f t="shared" si="2"/>
        <v>3303138.51</v>
      </c>
      <c r="N4" s="23">
        <f t="shared" si="2"/>
        <v>3963766.212</v>
      </c>
      <c r="O4" s="23">
        <f t="shared" si="2"/>
        <v>4756519.454</v>
      </c>
      <c r="P4" s="23">
        <f t="shared" si="2"/>
        <v>5707823.345</v>
      </c>
      <c r="Q4" s="23">
        <f t="shared" si="2"/>
        <v>6849388.014</v>
      </c>
      <c r="R4" s="23">
        <f t="shared" si="2"/>
        <v>8219265.617</v>
      </c>
      <c r="S4" s="23">
        <f t="shared" si="2"/>
        <v>9863118.741</v>
      </c>
      <c r="T4" s="23">
        <f t="shared" si="2"/>
        <v>11835742.49</v>
      </c>
      <c r="U4" s="23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</row>
    <row r="5">
      <c r="A5" s="2" t="s">
        <v>39</v>
      </c>
      <c r="B5" s="22"/>
      <c r="C5" s="22"/>
      <c r="D5" s="22"/>
      <c r="E5" s="22"/>
      <c r="F5" s="23"/>
      <c r="G5" s="23"/>
      <c r="H5" s="24">
        <v>44500.0</v>
      </c>
      <c r="I5" s="25">
        <v>87514.0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</row>
    <row r="6">
      <c r="B6" s="22"/>
      <c r="C6" s="22"/>
      <c r="D6" s="22"/>
      <c r="E6" s="22"/>
      <c r="F6" s="22"/>
      <c r="G6" s="22"/>
      <c r="H6" s="24"/>
      <c r="I6" s="25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</row>
    <row r="7">
      <c r="A7" s="2" t="s">
        <v>40</v>
      </c>
      <c r="B7" s="22"/>
      <c r="C7" s="22"/>
      <c r="D7" s="22"/>
      <c r="E7" s="23"/>
      <c r="F7" s="23"/>
      <c r="G7" s="23"/>
      <c r="H7" s="24">
        <f t="shared" ref="H7:I7" si="3">H4-H5</f>
        <v>460374</v>
      </c>
      <c r="I7" s="24">
        <f t="shared" si="3"/>
        <v>661497</v>
      </c>
      <c r="J7" s="27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</row>
    <row r="8">
      <c r="B8" s="22"/>
      <c r="C8" s="22"/>
      <c r="D8" s="22"/>
      <c r="E8" s="23"/>
      <c r="F8" s="23"/>
      <c r="G8" s="23"/>
      <c r="H8" s="24"/>
      <c r="I8" s="25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>
      <c r="A9" s="2" t="s">
        <v>41</v>
      </c>
      <c r="B9" s="22"/>
      <c r="C9" s="22"/>
      <c r="D9" s="22"/>
      <c r="E9" s="22"/>
      <c r="F9" s="22"/>
      <c r="G9" s="22"/>
      <c r="H9" s="24">
        <v>164774.0</v>
      </c>
      <c r="I9" s="25">
        <v>751120.0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</row>
    <row r="10">
      <c r="A10" s="2" t="s">
        <v>42</v>
      </c>
      <c r="B10" s="22"/>
      <c r="C10" s="22"/>
      <c r="D10" s="22"/>
      <c r="E10" s="23"/>
      <c r="F10" s="23"/>
      <c r="G10" s="23"/>
      <c r="H10" s="24">
        <v>201377.0</v>
      </c>
      <c r="I10" s="25">
        <v>472076.0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</row>
    <row r="11">
      <c r="A11" s="2" t="s">
        <v>43</v>
      </c>
      <c r="B11" s="22"/>
      <c r="C11" s="22"/>
      <c r="D11" s="22"/>
      <c r="E11" s="28"/>
      <c r="F11" s="28"/>
      <c r="G11" s="28"/>
      <c r="H11" s="24">
        <v>167679.0</v>
      </c>
      <c r="I11" s="25">
        <v>315734.0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>
      <c r="B12" s="22"/>
      <c r="C12" s="22"/>
      <c r="D12" s="22"/>
      <c r="E12" s="22"/>
      <c r="F12" s="22"/>
      <c r="G12" s="22"/>
      <c r="H12" s="24"/>
      <c r="I12" s="25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</row>
    <row r="13">
      <c r="A13" s="2" t="s">
        <v>44</v>
      </c>
      <c r="B13" s="22"/>
      <c r="C13" s="22"/>
      <c r="D13" s="22"/>
      <c r="E13" s="23"/>
      <c r="F13" s="23"/>
      <c r="G13" s="23"/>
      <c r="H13" s="24">
        <f t="shared" ref="H13:I13" si="4">H7-SUM(H9:H11)</f>
        <v>-73456</v>
      </c>
      <c r="I13" s="25">
        <f t="shared" si="4"/>
        <v>-877433</v>
      </c>
      <c r="J13" s="26">
        <f t="shared" ref="J13:T13" si="5">J4*J22</f>
        <v>112351.65</v>
      </c>
      <c r="K13" s="26">
        <f t="shared" si="5"/>
        <v>252791.2125</v>
      </c>
      <c r="L13" s="26">
        <f t="shared" si="5"/>
        <v>471876.93</v>
      </c>
      <c r="M13" s="26">
        <f t="shared" si="5"/>
        <v>660627.702</v>
      </c>
      <c r="N13" s="26">
        <f t="shared" si="5"/>
        <v>990941.553</v>
      </c>
      <c r="O13" s="26">
        <f t="shared" si="5"/>
        <v>1189129.864</v>
      </c>
      <c r="P13" s="26">
        <f t="shared" si="5"/>
        <v>1712347.004</v>
      </c>
      <c r="Q13" s="26">
        <f t="shared" si="5"/>
        <v>2054816.404</v>
      </c>
      <c r="R13" s="26">
        <f t="shared" si="5"/>
        <v>2876742.966</v>
      </c>
      <c r="S13" s="26">
        <f t="shared" si="5"/>
        <v>3452091.559</v>
      </c>
      <c r="T13" s="26">
        <f t="shared" si="5"/>
        <v>4734296.996</v>
      </c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</row>
    <row r="14">
      <c r="A14" s="2" t="s">
        <v>45</v>
      </c>
      <c r="B14" s="22"/>
      <c r="C14" s="22"/>
      <c r="D14" s="22"/>
      <c r="E14" s="23"/>
      <c r="F14" s="23"/>
      <c r="G14" s="23"/>
      <c r="H14" s="24">
        <f t="shared" ref="H14:I14" si="6">H13-H16</f>
        <v>-1019375</v>
      </c>
      <c r="I14" s="25">
        <f t="shared" si="6"/>
        <v>-84362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</row>
    <row r="15">
      <c r="B15" s="22"/>
      <c r="C15" s="22"/>
      <c r="D15" s="22"/>
      <c r="E15" s="23"/>
      <c r="F15" s="23"/>
      <c r="G15" s="23"/>
      <c r="H15" s="24"/>
      <c r="I15" s="25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</row>
    <row r="16">
      <c r="A16" s="2" t="s">
        <v>46</v>
      </c>
      <c r="B16" s="22"/>
      <c r="C16" s="22"/>
      <c r="D16" s="22"/>
      <c r="E16" s="23"/>
      <c r="F16" s="23"/>
      <c r="G16" s="23"/>
      <c r="H16" s="24">
        <v>945919.0</v>
      </c>
      <c r="I16" s="25">
        <v>-793071.0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</row>
    <row r="17">
      <c r="A17" s="2" t="s">
        <v>47</v>
      </c>
      <c r="B17" s="29"/>
      <c r="C17" s="29"/>
      <c r="D17" s="29"/>
      <c r="E17" s="30"/>
      <c r="F17" s="30"/>
      <c r="G17" s="30"/>
      <c r="H17" s="31">
        <f t="shared" ref="H17:I17" si="7">H19-H16</f>
        <v>-208078</v>
      </c>
      <c r="I17" s="32">
        <f t="shared" si="7"/>
        <v>60951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</row>
    <row r="18">
      <c r="B18" s="29"/>
      <c r="C18" s="29"/>
      <c r="D18" s="29"/>
      <c r="E18" s="29"/>
      <c r="F18" s="29"/>
      <c r="G18" s="29"/>
      <c r="H18" s="31"/>
      <c r="I18" s="33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</row>
    <row r="19">
      <c r="A19" s="2" t="s">
        <v>48</v>
      </c>
      <c r="B19" s="29"/>
      <c r="C19" s="29"/>
      <c r="D19" s="29"/>
      <c r="E19" s="30"/>
      <c r="F19" s="30"/>
      <c r="G19" s="30"/>
      <c r="H19" s="31">
        <v>737841.0</v>
      </c>
      <c r="I19" s="32">
        <v>-732120.0</v>
      </c>
      <c r="J19" s="26">
        <f t="shared" ref="J19:T19" si="8">J13*(1-0.28)</f>
        <v>80893.188</v>
      </c>
      <c r="K19" s="26">
        <f t="shared" si="8"/>
        <v>182009.673</v>
      </c>
      <c r="L19" s="26">
        <f t="shared" si="8"/>
        <v>339751.3896</v>
      </c>
      <c r="M19" s="26">
        <f t="shared" si="8"/>
        <v>475651.9454</v>
      </c>
      <c r="N19" s="26">
        <f t="shared" si="8"/>
        <v>713477.9182</v>
      </c>
      <c r="O19" s="26">
        <f t="shared" si="8"/>
        <v>856173.5018</v>
      </c>
      <c r="P19" s="26">
        <f t="shared" si="8"/>
        <v>1232889.843</v>
      </c>
      <c r="Q19" s="26">
        <f t="shared" si="8"/>
        <v>1479467.811</v>
      </c>
      <c r="R19" s="26">
        <f t="shared" si="8"/>
        <v>2071254.936</v>
      </c>
      <c r="S19" s="26">
        <f t="shared" si="8"/>
        <v>2485505.923</v>
      </c>
      <c r="T19" s="26">
        <f t="shared" si="8"/>
        <v>3408693.837</v>
      </c>
      <c r="U19" s="26">
        <f t="shared" ref="U19:AJ19" si="9">T19*0.99</f>
        <v>3374606.898</v>
      </c>
      <c r="V19" s="26">
        <f t="shared" si="9"/>
        <v>3340860.829</v>
      </c>
      <c r="W19" s="26">
        <f t="shared" si="9"/>
        <v>3307452.221</v>
      </c>
      <c r="X19" s="26">
        <f t="shared" si="9"/>
        <v>3274377.699</v>
      </c>
      <c r="Y19" s="26">
        <f t="shared" si="9"/>
        <v>3241633.922</v>
      </c>
      <c r="Z19" s="26">
        <f t="shared" si="9"/>
        <v>3209217.583</v>
      </c>
      <c r="AA19" s="26">
        <f t="shared" si="9"/>
        <v>3177125.407</v>
      </c>
      <c r="AB19" s="26">
        <f t="shared" si="9"/>
        <v>3145354.153</v>
      </c>
      <c r="AC19" s="26">
        <f t="shared" si="9"/>
        <v>3113900.611</v>
      </c>
      <c r="AD19" s="26">
        <f t="shared" si="9"/>
        <v>3082761.605</v>
      </c>
      <c r="AE19" s="26">
        <f t="shared" si="9"/>
        <v>3051933.989</v>
      </c>
      <c r="AF19" s="26">
        <f t="shared" si="9"/>
        <v>3021414.649</v>
      </c>
      <c r="AG19" s="26">
        <f t="shared" si="9"/>
        <v>2991200.503</v>
      </c>
      <c r="AH19" s="26">
        <f t="shared" si="9"/>
        <v>2961288.498</v>
      </c>
      <c r="AI19" s="26">
        <f t="shared" si="9"/>
        <v>2931675.613</v>
      </c>
      <c r="AJ19" s="26">
        <f t="shared" si="9"/>
        <v>2902358.857</v>
      </c>
    </row>
    <row r="20">
      <c r="A20" s="2"/>
      <c r="B20" s="29"/>
      <c r="C20" s="29"/>
      <c r="D20" s="29"/>
      <c r="E20" s="34"/>
      <c r="F20" s="34"/>
      <c r="G20" s="34"/>
      <c r="H20" s="34"/>
      <c r="I20" s="35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>
      <c r="A21" s="2" t="s">
        <v>49</v>
      </c>
      <c r="B21" s="29"/>
      <c r="C21" s="29"/>
      <c r="D21" s="29"/>
      <c r="E21" s="29"/>
      <c r="F21" s="29"/>
      <c r="G21" s="29"/>
      <c r="H21" s="37">
        <f t="shared" ref="H21:I21" si="10">H7/H4</f>
        <v>0.9118591966</v>
      </c>
      <c r="I21" s="38">
        <f t="shared" si="10"/>
        <v>0.8831605944</v>
      </c>
    </row>
    <row r="22">
      <c r="A22" s="2" t="s">
        <v>50</v>
      </c>
      <c r="B22" s="29"/>
      <c r="C22" s="29"/>
      <c r="D22" s="29"/>
      <c r="E22" s="30"/>
      <c r="F22" s="30"/>
      <c r="G22" s="30"/>
      <c r="H22" s="37">
        <f t="shared" ref="H22:I22" si="11">H13/H4</f>
        <v>-0.1454937271</v>
      </c>
      <c r="I22" s="38">
        <f t="shared" si="11"/>
        <v>-1.171455426</v>
      </c>
      <c r="J22" s="36">
        <v>0.1</v>
      </c>
      <c r="K22" s="36">
        <v>0.15</v>
      </c>
      <c r="L22" s="36">
        <v>0.2</v>
      </c>
      <c r="M22" s="36">
        <v>0.2</v>
      </c>
      <c r="N22" s="36">
        <v>0.25</v>
      </c>
      <c r="O22" s="36">
        <v>0.25</v>
      </c>
      <c r="P22" s="36">
        <v>0.3</v>
      </c>
      <c r="Q22" s="36">
        <v>0.3</v>
      </c>
      <c r="R22" s="36">
        <v>0.35</v>
      </c>
      <c r="S22" s="36">
        <v>0.35</v>
      </c>
      <c r="T22" s="36">
        <v>0.4</v>
      </c>
    </row>
    <row r="23">
      <c r="A23" s="2" t="s">
        <v>51</v>
      </c>
      <c r="B23" s="29"/>
      <c r="C23" s="29"/>
      <c r="D23" s="29"/>
      <c r="E23" s="29"/>
      <c r="F23" s="29"/>
      <c r="G23" s="29"/>
      <c r="H23" s="37">
        <f t="shared" ref="H23:T23" si="12">H19/H4</f>
        <v>1.461435923</v>
      </c>
      <c r="I23" s="38">
        <f t="shared" si="12"/>
        <v>-0.9774489293</v>
      </c>
      <c r="J23" s="39">
        <f t="shared" si="12"/>
        <v>0.072</v>
      </c>
      <c r="K23" s="39">
        <f t="shared" si="12"/>
        <v>0.108</v>
      </c>
      <c r="L23" s="39">
        <f t="shared" si="12"/>
        <v>0.144</v>
      </c>
      <c r="M23" s="39">
        <f t="shared" si="12"/>
        <v>0.144</v>
      </c>
      <c r="N23" s="39">
        <f t="shared" si="12"/>
        <v>0.18</v>
      </c>
      <c r="O23" s="39">
        <f t="shared" si="12"/>
        <v>0.18</v>
      </c>
      <c r="P23" s="39">
        <f t="shared" si="12"/>
        <v>0.216</v>
      </c>
      <c r="Q23" s="39">
        <f t="shared" si="12"/>
        <v>0.216</v>
      </c>
      <c r="R23" s="39">
        <f t="shared" si="12"/>
        <v>0.252</v>
      </c>
      <c r="S23" s="39">
        <f t="shared" si="12"/>
        <v>0.252</v>
      </c>
      <c r="T23" s="39">
        <f t="shared" si="12"/>
        <v>0.288</v>
      </c>
    </row>
    <row r="24">
      <c r="A24" s="2" t="s">
        <v>52</v>
      </c>
      <c r="B24" s="29"/>
      <c r="C24" s="29"/>
      <c r="D24" s="29"/>
      <c r="E24" s="29"/>
      <c r="F24" s="29"/>
      <c r="G24" s="29"/>
      <c r="H24" s="37"/>
      <c r="I24" s="38"/>
      <c r="J24" s="36">
        <v>0.5</v>
      </c>
      <c r="K24" s="36">
        <v>0.5</v>
      </c>
      <c r="L24" s="36">
        <v>0.4</v>
      </c>
      <c r="M24" s="36">
        <v>0.4</v>
      </c>
      <c r="N24" s="36">
        <v>0.2</v>
      </c>
      <c r="O24" s="36">
        <v>0.2</v>
      </c>
      <c r="P24" s="36">
        <v>0.2</v>
      </c>
      <c r="Q24" s="36">
        <v>0.2</v>
      </c>
      <c r="R24" s="36">
        <v>0.2</v>
      </c>
      <c r="S24" s="36">
        <v>0.2</v>
      </c>
      <c r="T24" s="36">
        <v>0.2</v>
      </c>
      <c r="AJ24" s="36"/>
    </row>
    <row r="25">
      <c r="B25" s="29"/>
      <c r="C25" s="29"/>
      <c r="D25" s="29"/>
      <c r="E25" s="30"/>
      <c r="F25" s="30"/>
      <c r="G25" s="30"/>
      <c r="H25" s="30"/>
      <c r="I25" s="40"/>
    </row>
    <row r="26">
      <c r="A26" s="2"/>
      <c r="B26" s="29"/>
      <c r="C26" s="29"/>
      <c r="D26" s="29"/>
      <c r="E26" s="34"/>
      <c r="F26" s="34"/>
      <c r="G26" s="34"/>
      <c r="H26" s="34"/>
      <c r="I26" s="34"/>
      <c r="J26" s="41"/>
      <c r="K26" s="34"/>
    </row>
    <row r="27">
      <c r="B27" s="29"/>
      <c r="C27" s="29"/>
      <c r="D27" s="29"/>
      <c r="E27" s="29"/>
      <c r="F27" s="29"/>
      <c r="G27" s="29"/>
      <c r="H27" s="29"/>
      <c r="I27" s="42"/>
    </row>
    <row r="28">
      <c r="B28" s="29"/>
      <c r="C28" s="29"/>
      <c r="D28" s="29"/>
      <c r="E28" s="29"/>
      <c r="F28" s="29"/>
      <c r="G28" s="29"/>
      <c r="H28" s="29"/>
      <c r="I28" s="43"/>
    </row>
    <row r="29">
      <c r="B29" s="44"/>
      <c r="C29" s="44"/>
      <c r="D29" s="44"/>
      <c r="E29" s="45"/>
      <c r="F29" s="44"/>
      <c r="G29" s="44"/>
      <c r="H29" s="44"/>
      <c r="I29" s="46"/>
      <c r="J29" s="47">
        <v>-0.01</v>
      </c>
      <c r="K29" s="2" t="s">
        <v>53</v>
      </c>
    </row>
    <row r="30">
      <c r="B30" s="44"/>
      <c r="C30" s="44"/>
      <c r="D30" s="44"/>
      <c r="E30" s="45"/>
      <c r="F30" s="44"/>
      <c r="G30" s="44"/>
      <c r="H30" s="44"/>
      <c r="I30" s="48"/>
      <c r="J30" s="47">
        <v>0.08</v>
      </c>
      <c r="K30" s="2" t="s">
        <v>54</v>
      </c>
    </row>
    <row r="31">
      <c r="B31" s="44"/>
      <c r="C31" s="44"/>
      <c r="D31" s="44"/>
      <c r="E31" s="45"/>
      <c r="F31" s="44"/>
      <c r="G31" s="44"/>
      <c r="H31" s="44"/>
      <c r="I31" s="46"/>
      <c r="J31" s="9">
        <f t="array" ref="J31">NPV(J30,J19:AJ19)</f>
        <v>19127944.3</v>
      </c>
      <c r="K31" s="2" t="s">
        <v>55</v>
      </c>
    </row>
    <row r="32">
      <c r="B32" s="44"/>
      <c r="C32" s="44"/>
      <c r="D32" s="44"/>
      <c r="E32" s="45"/>
      <c r="F32" s="44"/>
      <c r="G32" s="44"/>
      <c r="H32" s="44"/>
      <c r="I32" s="46"/>
      <c r="J32" s="7">
        <v>587500.0</v>
      </c>
      <c r="K32" s="2" t="s">
        <v>56</v>
      </c>
    </row>
    <row r="33">
      <c r="B33" s="44"/>
      <c r="C33" s="44"/>
      <c r="D33" s="44"/>
      <c r="E33" s="45"/>
      <c r="F33" s="44"/>
      <c r="G33" s="44"/>
      <c r="H33" s="44"/>
      <c r="I33" s="46"/>
      <c r="J33" s="49">
        <f>J31/J32</f>
        <v>32.55820306</v>
      </c>
      <c r="K33" s="2" t="s">
        <v>57</v>
      </c>
    </row>
    <row r="34">
      <c r="B34" s="44"/>
      <c r="C34" s="44"/>
      <c r="D34" s="44"/>
      <c r="E34" s="45"/>
      <c r="F34" s="44"/>
      <c r="G34" s="44"/>
      <c r="H34" s="44"/>
      <c r="I34" s="46"/>
      <c r="J34" s="5">
        <f>Screen!J3</f>
        <v>32</v>
      </c>
      <c r="K34" s="2" t="s">
        <v>58</v>
      </c>
    </row>
    <row r="35">
      <c r="B35" s="44"/>
      <c r="C35" s="44"/>
      <c r="D35" s="44"/>
      <c r="E35" s="45"/>
      <c r="F35" s="44"/>
      <c r="G35" s="44"/>
      <c r="H35" s="44"/>
      <c r="I35" s="46"/>
      <c r="J35" s="47">
        <f>(J33-J34)/J34</f>
        <v>0.01744384578</v>
      </c>
      <c r="K35" s="2" t="s">
        <v>59</v>
      </c>
      <c r="L35" s="18"/>
      <c r="M35" s="18"/>
      <c r="N35" s="18"/>
      <c r="O35" s="18"/>
      <c r="P35" s="18"/>
      <c r="Q35" s="18"/>
    </row>
    <row r="36">
      <c r="B36" s="44"/>
      <c r="C36" s="44"/>
      <c r="D36" s="44"/>
      <c r="E36" s="45"/>
      <c r="F36" s="44"/>
      <c r="G36" s="44"/>
      <c r="H36" s="44"/>
      <c r="I36" s="50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</row>
    <row r="37">
      <c r="A37" s="2"/>
      <c r="B37" s="44"/>
      <c r="C37" s="44"/>
      <c r="D37" s="44"/>
      <c r="E37" s="45"/>
      <c r="F37" s="44"/>
      <c r="G37" s="44"/>
      <c r="H37" s="44"/>
      <c r="I37" s="46"/>
      <c r="Q37" s="18"/>
    </row>
    <row r="38">
      <c r="A38" s="2"/>
      <c r="B38" s="44"/>
      <c r="C38" s="44"/>
      <c r="D38" s="44"/>
      <c r="E38" s="45"/>
      <c r="F38" s="44"/>
      <c r="G38" s="44"/>
      <c r="H38" s="44"/>
      <c r="I38" s="46"/>
    </row>
    <row r="39">
      <c r="A39" s="2"/>
      <c r="B39" s="44"/>
      <c r="C39" s="44"/>
      <c r="D39" s="44"/>
      <c r="E39" s="45"/>
      <c r="F39" s="44"/>
      <c r="G39" s="44"/>
      <c r="H39" s="44"/>
      <c r="I39" s="46"/>
    </row>
    <row r="40">
      <c r="A40" s="2"/>
      <c r="B40" s="44"/>
      <c r="C40" s="44"/>
      <c r="D40" s="44"/>
      <c r="E40" s="45"/>
      <c r="F40" s="44"/>
      <c r="G40" s="44"/>
      <c r="H40" s="44"/>
      <c r="I40" s="46"/>
    </row>
    <row r="41">
      <c r="A41" s="51"/>
      <c r="B41" s="52"/>
      <c r="C41" s="52"/>
      <c r="D41" s="52"/>
      <c r="E41" s="52"/>
      <c r="F41" s="52"/>
      <c r="G41" s="52"/>
      <c r="H41" s="52"/>
      <c r="I41" s="53"/>
    </row>
    <row r="42">
      <c r="A42" s="51"/>
      <c r="B42" s="29"/>
      <c r="C42" s="29"/>
      <c r="D42" s="29"/>
      <c r="E42" s="29"/>
      <c r="F42" s="29"/>
      <c r="G42" s="29"/>
      <c r="H42" s="29"/>
      <c r="I42" s="29"/>
    </row>
    <row r="43">
      <c r="A43" s="51"/>
      <c r="B43" s="29"/>
      <c r="C43" s="29"/>
      <c r="D43" s="29"/>
      <c r="E43" s="29"/>
      <c r="F43" s="29"/>
      <c r="G43" s="29"/>
      <c r="H43" s="29"/>
      <c r="I43" s="29"/>
    </row>
    <row r="44">
      <c r="A44" s="51"/>
      <c r="B44" s="29"/>
      <c r="C44" s="29"/>
      <c r="D44" s="29"/>
      <c r="E44" s="29"/>
      <c r="F44" s="29"/>
      <c r="G44" s="29"/>
      <c r="H44" s="29"/>
      <c r="I44" s="29"/>
    </row>
    <row r="45">
      <c r="A45" s="51"/>
      <c r="B45" s="29"/>
      <c r="C45" s="29"/>
      <c r="D45" s="29"/>
      <c r="E45" s="29"/>
      <c r="F45" s="29"/>
      <c r="G45" s="29"/>
      <c r="H45" s="29"/>
      <c r="I45" s="29"/>
      <c r="J45" s="54"/>
    </row>
    <row r="46">
      <c r="A46" s="51"/>
      <c r="B46" s="29"/>
      <c r="C46" s="29"/>
      <c r="D46" s="29"/>
      <c r="E46" s="29"/>
      <c r="F46" s="29"/>
      <c r="G46" s="29"/>
      <c r="H46" s="29"/>
      <c r="I46" s="55"/>
    </row>
    <row r="47">
      <c r="A47" s="51"/>
      <c r="B47" s="29"/>
      <c r="C47" s="29"/>
      <c r="D47" s="29"/>
      <c r="E47" s="29"/>
      <c r="F47" s="29"/>
      <c r="G47" s="29"/>
      <c r="H47" s="29"/>
      <c r="I47" s="29"/>
      <c r="J47" s="54"/>
    </row>
    <row r="48">
      <c r="A48" s="51"/>
      <c r="B48" s="55"/>
      <c r="C48" s="55"/>
      <c r="D48" s="55"/>
      <c r="E48" s="55"/>
      <c r="F48" s="55"/>
      <c r="G48" s="55"/>
      <c r="H48" s="55"/>
      <c r="I48" s="55"/>
    </row>
    <row r="49">
      <c r="A49" s="51"/>
      <c r="B49" s="29"/>
      <c r="C49" s="29"/>
      <c r="D49" s="29"/>
      <c r="E49" s="29"/>
      <c r="F49" s="29"/>
      <c r="G49" s="29"/>
      <c r="H49" s="29"/>
      <c r="I49" s="55"/>
    </row>
    <row r="50">
      <c r="A50" s="51"/>
      <c r="B50" s="29"/>
      <c r="C50" s="29"/>
      <c r="D50" s="29"/>
      <c r="E50" s="29"/>
      <c r="F50" s="29"/>
      <c r="G50" s="29"/>
      <c r="H50" s="29"/>
      <c r="I50" s="29"/>
    </row>
    <row r="51">
      <c r="A51" s="51"/>
      <c r="B51" s="29"/>
      <c r="C51" s="29"/>
      <c r="D51" s="29"/>
      <c r="E51" s="29"/>
      <c r="F51" s="29"/>
      <c r="G51" s="29"/>
      <c r="H51" s="29"/>
      <c r="I51" s="29"/>
    </row>
    <row r="52">
      <c r="A52" s="51"/>
      <c r="B52" s="29"/>
      <c r="C52" s="29"/>
      <c r="D52" s="29"/>
      <c r="E52" s="29"/>
      <c r="F52" s="29"/>
      <c r="G52" s="29"/>
      <c r="H52" s="29"/>
      <c r="I52" s="29"/>
    </row>
    <row r="53">
      <c r="A53" s="51"/>
      <c r="B53" s="29"/>
      <c r="C53" s="29"/>
      <c r="D53" s="29"/>
      <c r="E53" s="29"/>
      <c r="F53" s="29"/>
      <c r="G53" s="29"/>
      <c r="H53" s="29"/>
      <c r="I53" s="29"/>
    </row>
    <row r="54">
      <c r="A54" s="51"/>
      <c r="B54" s="29"/>
      <c r="C54" s="29"/>
      <c r="D54" s="29"/>
      <c r="E54" s="29"/>
      <c r="F54" s="29"/>
      <c r="G54" s="29"/>
      <c r="H54" s="29"/>
      <c r="I54" s="55"/>
    </row>
    <row r="55">
      <c r="A55" s="51"/>
      <c r="B55" s="55"/>
      <c r="C55" s="55"/>
      <c r="D55" s="55"/>
      <c r="E55" s="55"/>
      <c r="F55" s="55"/>
      <c r="G55" s="55"/>
      <c r="H55" s="55"/>
      <c r="I55" s="55"/>
    </row>
    <row r="56">
      <c r="A56" s="51"/>
      <c r="B56" s="29"/>
      <c r="C56" s="29"/>
      <c r="D56" s="29"/>
      <c r="E56" s="29"/>
      <c r="F56" s="29"/>
      <c r="G56" s="29"/>
      <c r="H56" s="29"/>
      <c r="I56" s="55"/>
    </row>
    <row r="57">
      <c r="A57" s="51"/>
      <c r="B57" s="55"/>
      <c r="C57" s="55"/>
      <c r="D57" s="55"/>
      <c r="E57" s="55"/>
      <c r="F57" s="55"/>
      <c r="G57" s="55"/>
      <c r="H57" s="55"/>
      <c r="I57" s="55"/>
    </row>
    <row r="58">
      <c r="A58" s="51"/>
      <c r="B58" s="55"/>
      <c r="C58" s="55"/>
      <c r="D58" s="55"/>
      <c r="E58" s="55"/>
      <c r="F58" s="55"/>
      <c r="G58" s="55"/>
      <c r="H58" s="55"/>
      <c r="I58" s="55"/>
    </row>
    <row r="59">
      <c r="A59" s="51"/>
      <c r="B59" s="29"/>
      <c r="C59" s="29"/>
      <c r="D59" s="29"/>
      <c r="E59" s="29"/>
      <c r="F59" s="29"/>
      <c r="G59" s="29"/>
      <c r="H59" s="29"/>
      <c r="I59" s="55"/>
    </row>
    <row r="60">
      <c r="A60" s="51"/>
      <c r="B60" s="29"/>
      <c r="C60" s="29"/>
      <c r="D60" s="29"/>
      <c r="E60" s="29"/>
      <c r="F60" s="29"/>
      <c r="G60" s="29"/>
      <c r="H60" s="29"/>
      <c r="I60" s="29"/>
    </row>
    <row r="61">
      <c r="A61" s="51"/>
      <c r="B61" s="29"/>
      <c r="C61" s="29"/>
      <c r="D61" s="29"/>
      <c r="E61" s="29"/>
      <c r="F61" s="29"/>
      <c r="G61" s="29"/>
      <c r="H61" s="29"/>
      <c r="I61" s="29"/>
    </row>
    <row r="62">
      <c r="A62" s="51"/>
      <c r="B62" s="29"/>
      <c r="C62" s="29"/>
      <c r="D62" s="29"/>
      <c r="E62" s="29"/>
      <c r="F62" s="29"/>
      <c r="G62" s="29"/>
      <c r="H62" s="29"/>
      <c r="I62" s="55"/>
    </row>
    <row r="63">
      <c r="A63" s="51"/>
      <c r="B63" s="31"/>
      <c r="C63" s="31"/>
      <c r="D63" s="31"/>
      <c r="E63" s="31"/>
      <c r="F63" s="31"/>
      <c r="G63" s="31"/>
      <c r="H63" s="56"/>
      <c r="I63" s="56"/>
    </row>
    <row r="64">
      <c r="A64" s="51"/>
      <c r="B64" s="51"/>
      <c r="C64" s="51"/>
      <c r="D64" s="51"/>
      <c r="E64" s="57"/>
      <c r="F64" s="57"/>
      <c r="G64" s="57"/>
      <c r="H64" s="57"/>
      <c r="I64" s="51"/>
    </row>
    <row r="65">
      <c r="A65" s="51"/>
      <c r="B65" s="51"/>
      <c r="C65" s="51"/>
      <c r="D65" s="51"/>
      <c r="E65" s="51"/>
      <c r="F65" s="51"/>
      <c r="G65" s="51"/>
      <c r="H65" s="51"/>
      <c r="I65" s="51"/>
    </row>
    <row r="66">
      <c r="A66" s="51"/>
      <c r="B66" s="51"/>
      <c r="C66" s="51"/>
      <c r="D66" s="51"/>
      <c r="E66" s="51"/>
      <c r="F66" s="51"/>
      <c r="G66" s="51"/>
      <c r="H66" s="51"/>
      <c r="I66" s="51"/>
    </row>
    <row r="67">
      <c r="A67" s="51"/>
      <c r="B67" s="58"/>
      <c r="C67" s="58"/>
      <c r="D67" s="58"/>
      <c r="E67" s="58"/>
      <c r="F67" s="58"/>
      <c r="G67" s="58"/>
      <c r="H67" s="58"/>
      <c r="I67" s="58"/>
    </row>
    <row r="68">
      <c r="A68" s="51"/>
      <c r="B68" s="58"/>
      <c r="C68" s="58"/>
      <c r="D68" s="58"/>
      <c r="E68" s="58"/>
      <c r="F68" s="58"/>
      <c r="G68" s="58"/>
      <c r="H68" s="58"/>
      <c r="I68" s="58"/>
    </row>
    <row r="69">
      <c r="A69" s="51"/>
      <c r="B69" s="58"/>
      <c r="C69" s="58"/>
      <c r="D69" s="58"/>
      <c r="E69" s="58"/>
      <c r="F69" s="58"/>
      <c r="G69" s="58"/>
      <c r="H69" s="58"/>
      <c r="I69" s="58"/>
    </row>
    <row r="70">
      <c r="A70" s="51"/>
      <c r="B70" s="58"/>
      <c r="C70" s="58"/>
      <c r="D70" s="58"/>
      <c r="E70" s="58"/>
      <c r="F70" s="58"/>
      <c r="G70" s="58"/>
      <c r="H70" s="58"/>
      <c r="I70" s="58"/>
    </row>
    <row r="71">
      <c r="I71" s="18"/>
    </row>
  </sheetData>
  <drawing r:id="rId2"/>
  <legacyDrawing r:id="rId3"/>
</worksheet>
</file>