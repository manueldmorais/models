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tocks\"/>
    </mc:Choice>
  </mc:AlternateContent>
  <xr:revisionPtr revIDLastSave="0" documentId="13_ncr:1_{47877444-47C9-4E47-B6A1-6FFC73F8108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Screen" sheetId="1" r:id="rId1"/>
    <sheet name="Metrics" sheetId="2" r:id="rId2"/>
    <sheet name="Funding" sheetId="3" r:id="rId3"/>
    <sheet name="Mode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J14" i="1"/>
  <c r="J13" i="1"/>
  <c r="S37" i="4"/>
  <c r="T37" i="4" s="1"/>
  <c r="U37" i="4" s="1"/>
  <c r="V37" i="4" s="1"/>
  <c r="R37" i="4"/>
  <c r="Q37" i="4"/>
  <c r="P37" i="4"/>
  <c r="K25" i="4"/>
  <c r="I25" i="4"/>
  <c r="J25" i="4"/>
  <c r="J12" i="1"/>
  <c r="M41" i="4"/>
  <c r="K4" i="4"/>
  <c r="K32" i="4" s="1"/>
  <c r="M39" i="4"/>
  <c r="J32" i="4"/>
  <c r="J33" i="4" s="1"/>
  <c r="H31" i="4"/>
  <c r="H32" i="4" s="1"/>
  <c r="H33" i="4" s="1"/>
  <c r="I31" i="4"/>
  <c r="I32" i="4" s="1"/>
  <c r="I33" i="4" s="1"/>
  <c r="J31" i="4"/>
  <c r="I29" i="4"/>
  <c r="H29" i="4"/>
  <c r="J29" i="4"/>
  <c r="H24" i="4"/>
  <c r="I24" i="4"/>
  <c r="J24" i="4"/>
  <c r="H22" i="4"/>
  <c r="I22" i="4"/>
  <c r="J22" i="4"/>
  <c r="I5" i="4"/>
  <c r="J5" i="4"/>
  <c r="J8" i="4"/>
  <c r="J15" i="4" s="1"/>
  <c r="J19" i="4"/>
  <c r="I19" i="4"/>
  <c r="I8" i="4"/>
  <c r="I15" i="4" s="1"/>
  <c r="H19" i="4"/>
  <c r="H8" i="4"/>
  <c r="H9" i="4" s="1"/>
  <c r="K2" i="4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J10" i="1"/>
  <c r="J5" i="1"/>
  <c r="J8" i="1" s="1"/>
  <c r="K21" i="4" l="1"/>
  <c r="K24" i="4" s="1"/>
  <c r="L4" i="4"/>
  <c r="L21" i="4" s="1"/>
  <c r="L24" i="4" s="1"/>
  <c r="J9" i="4"/>
  <c r="I9" i="4"/>
  <c r="J16" i="4"/>
  <c r="I16" i="4"/>
  <c r="H15" i="4"/>
  <c r="M4" i="4" l="1"/>
  <c r="M21" i="4" s="1"/>
  <c r="M24" i="4" s="1"/>
  <c r="L32" i="4"/>
  <c r="H16" i="4"/>
  <c r="N4" i="4" l="1"/>
  <c r="N21" i="4" s="1"/>
  <c r="N24" i="4" s="1"/>
  <c r="M32" i="4"/>
  <c r="O4" i="4" l="1"/>
  <c r="O21" i="4" s="1"/>
  <c r="O24" i="4" s="1"/>
  <c r="N32" i="4"/>
  <c r="T38" i="4" l="1"/>
  <c r="P38" i="4"/>
  <c r="U38" i="4"/>
  <c r="S38" i="4"/>
  <c r="V38" i="4"/>
  <c r="R38" i="4"/>
  <c r="Q38" i="4"/>
  <c r="P4" i="4"/>
  <c r="O32" i="4"/>
  <c r="S39" i="4" l="1"/>
  <c r="S40" i="4"/>
  <c r="Q39" i="4"/>
  <c r="Q40" i="4"/>
  <c r="U39" i="4"/>
  <c r="U40" i="4"/>
  <c r="R40" i="4"/>
  <c r="R39" i="4"/>
  <c r="P39" i="4"/>
  <c r="P40" i="4"/>
  <c r="V40" i="4"/>
  <c r="V39" i="4"/>
  <c r="T39" i="4"/>
  <c r="T40" i="4"/>
  <c r="Q4" i="4"/>
  <c r="P32" i="4"/>
  <c r="R4" i="4" l="1"/>
  <c r="Q32" i="4"/>
  <c r="S4" i="4" l="1"/>
  <c r="R32" i="4"/>
  <c r="T4" i="4" l="1"/>
  <c r="T32" i="4" s="1"/>
  <c r="U32" i="4" s="1"/>
  <c r="V32" i="4" s="1"/>
  <c r="W32" i="4" s="1"/>
  <c r="X32" i="4" s="1"/>
  <c r="Y32" i="4" s="1"/>
  <c r="Z32" i="4" s="1"/>
  <c r="AA32" i="4" s="1"/>
  <c r="AB32" i="4" s="1"/>
  <c r="AC32" i="4" s="1"/>
  <c r="AD32" i="4" s="1"/>
  <c r="AE32" i="4" s="1"/>
  <c r="AF32" i="4" s="1"/>
  <c r="AG32" i="4" s="1"/>
  <c r="AH32" i="4" s="1"/>
  <c r="AI32" i="4" s="1"/>
  <c r="AJ32" i="4" s="1"/>
  <c r="AK32" i="4" s="1"/>
  <c r="M38" i="4" s="1"/>
  <c r="M40" i="4" s="1"/>
  <c r="M42" i="4" s="1"/>
  <c r="S3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5" authorId="0" shapeId="0" xr:uid="{F38B54B2-86B5-49D3-B5FB-A2A225214578}">
      <text>
        <r>
          <rPr>
            <sz val="10"/>
            <color rgb="FF000000"/>
            <rFont val="Arial"/>
            <scheme val="minor"/>
          </rPr>
          <t>massive increase in operating expenses due to SBC
	-Manuel</t>
        </r>
      </text>
    </comment>
    <comment ref="J15" authorId="0" shapeId="0" xr:uid="{00000000-0006-0000-0300-000001000000}">
      <text>
        <r>
          <rPr>
            <sz val="10"/>
            <color rgb="FF000000"/>
            <rFont val="Arial"/>
            <scheme val="minor"/>
          </rPr>
          <t>massive increase in operating expenses due to SBC
	-Manuel</t>
        </r>
      </text>
    </comment>
    <comment ref="H16" authorId="0" shapeId="0" xr:uid="{00000000-0006-0000-0300-000002000000}">
      <text>
        <r>
          <rPr>
            <sz val="10"/>
            <color rgb="FF000000"/>
            <rFont val="Arial"/>
            <scheme val="minor"/>
          </rPr>
          <t>$1.0 billion termination fee received due to the Abandoned Merger with Adobe
	-Manuel</t>
        </r>
      </text>
    </comment>
  </commentList>
</comments>
</file>

<file path=xl/sharedStrings.xml><?xml version="1.0" encoding="utf-8"?>
<sst xmlns="http://schemas.openxmlformats.org/spreadsheetml/2006/main" count="83" uniqueCount="81">
  <si>
    <t xml:space="preserve">Founded </t>
  </si>
  <si>
    <t>Launched</t>
  </si>
  <si>
    <t xml:space="preserve">Price </t>
  </si>
  <si>
    <t>Headcount</t>
  </si>
  <si>
    <t>SHARES OUT</t>
  </si>
  <si>
    <t>MC</t>
  </si>
  <si>
    <t xml:space="preserve">CASH </t>
  </si>
  <si>
    <t xml:space="preserve">DEBT </t>
  </si>
  <si>
    <t>EV</t>
  </si>
  <si>
    <t>Net Cash</t>
  </si>
  <si>
    <t>NOTES:</t>
  </si>
  <si>
    <t>Net Dollar Retention Rate</t>
  </si>
  <si>
    <t>Year</t>
  </si>
  <si>
    <t>Round Name</t>
  </si>
  <si>
    <t>Amount</t>
  </si>
  <si>
    <t>Valuation</t>
  </si>
  <si>
    <t>Investors</t>
  </si>
  <si>
    <t>Series F</t>
  </si>
  <si>
    <t>416m</t>
  </si>
  <si>
    <t>Series E</t>
  </si>
  <si>
    <t>200m</t>
  </si>
  <si>
    <t>10B</t>
  </si>
  <si>
    <t>Series D</t>
  </si>
  <si>
    <t>50m</t>
  </si>
  <si>
    <t>2B</t>
  </si>
  <si>
    <t>Andreessen Horowitz</t>
  </si>
  <si>
    <t>Series C</t>
  </si>
  <si>
    <t>40m</t>
  </si>
  <si>
    <t>Sequoia</t>
  </si>
  <si>
    <t>Series B</t>
  </si>
  <si>
    <t>25m</t>
  </si>
  <si>
    <t>Series A</t>
  </si>
  <si>
    <t>14m</t>
  </si>
  <si>
    <t>Seed</t>
  </si>
  <si>
    <t>3.87m</t>
  </si>
  <si>
    <t>FORECAST</t>
  </si>
  <si>
    <t>in thousands</t>
  </si>
  <si>
    <t>Revenue</t>
  </si>
  <si>
    <t>COGS</t>
  </si>
  <si>
    <t>Gross Profit</t>
  </si>
  <si>
    <t>R&amp;D</t>
  </si>
  <si>
    <t>S&amp;M</t>
  </si>
  <si>
    <t>G&amp;A</t>
  </si>
  <si>
    <t>Income from operations</t>
  </si>
  <si>
    <t>Other Income</t>
  </si>
  <si>
    <t>Income before taxes</t>
  </si>
  <si>
    <t>Taxes</t>
  </si>
  <si>
    <t>Net Income</t>
  </si>
  <si>
    <t>Maturity</t>
  </si>
  <si>
    <t>Discount</t>
  </si>
  <si>
    <t>NPV</t>
  </si>
  <si>
    <t>Shares Out.</t>
  </si>
  <si>
    <t>FV</t>
  </si>
  <si>
    <t>Current</t>
  </si>
  <si>
    <t>Upside</t>
  </si>
  <si>
    <t>% gross</t>
  </si>
  <si>
    <t>% growth</t>
  </si>
  <si>
    <t>Shares</t>
  </si>
  <si>
    <t>% net</t>
  </si>
  <si>
    <t>EPS</t>
  </si>
  <si>
    <t>D&amp;A</t>
  </si>
  <si>
    <t>SBC</t>
  </si>
  <si>
    <t>Other</t>
  </si>
  <si>
    <t>CFFO</t>
  </si>
  <si>
    <t>Capex</t>
  </si>
  <si>
    <t>FCF</t>
  </si>
  <si>
    <t>% fcf</t>
  </si>
  <si>
    <t>P/S</t>
  </si>
  <si>
    <t>P/E</t>
  </si>
  <si>
    <t>F P/E</t>
  </si>
  <si>
    <t>EV/EBITDA</t>
  </si>
  <si>
    <t>Paid Customers +10k ARR</t>
  </si>
  <si>
    <t>Paid Customers +100k ARR</t>
  </si>
  <si>
    <t>% dillution</t>
  </si>
  <si>
    <t>DCF</t>
  </si>
  <si>
    <t>Multiples</t>
  </si>
  <si>
    <t>Price</t>
  </si>
  <si>
    <t>Price 2030</t>
  </si>
  <si>
    <t>p.a</t>
  </si>
  <si>
    <t>Notes:</t>
  </si>
  <si>
    <t xml:space="preserve">At fair value, in a bullish case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</si>
</sst>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"/>
    <numFmt numFmtId="165" formatCode="&quot;$&quot;#,##0"/>
    <numFmt numFmtId="166" formatCode="&quot;$&quot;#,##0.00"/>
    <numFmt numFmtId="167" formatCode="_(&quot;$&quot;* #,##0_);_(&quot;$&quot;* \(#,##0\);_(&quot;$&quot;* &quot;-&quot;??_);_(@_)"/>
    <numFmt numFmtId="168" formatCode="_(&quot;$&quot;* #,##0.00_);_(&quot;$&quot;* \(#,##0.00\);_(&quot;$&quot;* &quot;-&quot;??_);_(@_)"/>
    <numFmt numFmtId="169" formatCode="0,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/>
    <xf numFmtId="0" fontId="2" fillId="2" borderId="0" xfId="0" applyFont="1" applyFill="1" applyAlignment="1">
      <alignment horizontal="left"/>
    </xf>
    <xf numFmtId="166" fontId="1" fillId="0" borderId="0" xfId="0" applyNumberFormat="1" applyFont="1" applyAlignment="1">
      <alignment horizontal="left"/>
    </xf>
    <xf numFmtId="10" fontId="1" fillId="0" borderId="0" xfId="0" applyNumberFormat="1" applyFont="1" applyAlignment="1">
      <alignment horizontal="left"/>
    </xf>
    <xf numFmtId="10" fontId="1" fillId="0" borderId="0" xfId="0" applyNumberFormat="1" applyFont="1"/>
    <xf numFmtId="167" fontId="1" fillId="0" borderId="0" xfId="0" applyNumberFormat="1" applyFont="1"/>
    <xf numFmtId="4" fontId="1" fillId="0" borderId="0" xfId="0" applyNumberFormat="1" applyFont="1"/>
    <xf numFmtId="168" fontId="1" fillId="0" borderId="0" xfId="0" applyNumberFormat="1" applyFont="1"/>
    <xf numFmtId="4" fontId="1" fillId="2" borderId="0" xfId="0" applyNumberFormat="1" applyFont="1" applyFill="1"/>
    <xf numFmtId="168" fontId="1" fillId="2" borderId="0" xfId="0" applyNumberFormat="1" applyFont="1" applyFill="1"/>
    <xf numFmtId="167" fontId="1" fillId="2" borderId="0" xfId="0" applyNumberFormat="1" applyFont="1" applyFill="1"/>
    <xf numFmtId="10" fontId="1" fillId="2" borderId="0" xfId="0" applyNumberFormat="1" applyFont="1" applyFill="1"/>
    <xf numFmtId="9" fontId="1" fillId="0" borderId="0" xfId="0" applyNumberFormat="1" applyFont="1"/>
    <xf numFmtId="4" fontId="3" fillId="0" borderId="0" xfId="0" applyNumberFormat="1" applyFont="1" applyAlignment="1">
      <alignment horizontal="right" wrapText="1"/>
    </xf>
    <xf numFmtId="0" fontId="1" fillId="2" borderId="0" xfId="0" applyFont="1" applyFill="1"/>
    <xf numFmtId="4" fontId="3" fillId="2" borderId="0" xfId="0" applyNumberFormat="1" applyFont="1" applyFill="1" applyAlignment="1">
      <alignment horizontal="right" wrapText="1"/>
    </xf>
    <xf numFmtId="4" fontId="3" fillId="2" borderId="0" xfId="0" applyNumberFormat="1" applyFont="1" applyFill="1"/>
    <xf numFmtId="165" fontId="1" fillId="0" borderId="0" xfId="0" applyNumberFormat="1" applyFont="1"/>
    <xf numFmtId="165" fontId="1" fillId="2" borderId="0" xfId="0" applyNumberFormat="1" applyFont="1" applyFill="1"/>
    <xf numFmtId="169" fontId="1" fillId="0" borderId="0" xfId="0" applyNumberFormat="1" applyFont="1"/>
    <xf numFmtId="169" fontId="1" fillId="2" borderId="0" xfId="0" applyNumberFormat="1" applyFont="1" applyFill="1"/>
    <xf numFmtId="168" fontId="1" fillId="0" borderId="0" xfId="0" applyNumberFormat="1" applyFont="1" applyBorder="1"/>
    <xf numFmtId="0" fontId="0" fillId="0" borderId="0" xfId="0" applyBorder="1"/>
    <xf numFmtId="169" fontId="1" fillId="0" borderId="0" xfId="0" applyNumberFormat="1" applyFont="1" applyBorder="1"/>
    <xf numFmtId="169" fontId="1" fillId="2" borderId="0" xfId="0" applyNumberFormat="1" applyFont="1" applyFill="1" applyBorder="1"/>
    <xf numFmtId="9" fontId="1" fillId="0" borderId="0" xfId="0" applyNumberFormat="1" applyFont="1" applyBorder="1"/>
    <xf numFmtId="4" fontId="1" fillId="2" borderId="0" xfId="0" applyNumberFormat="1" applyFont="1" applyFill="1" applyBorder="1"/>
    <xf numFmtId="4" fontId="3" fillId="0" borderId="0" xfId="0" applyNumberFormat="1" applyFont="1" applyBorder="1" applyAlignment="1">
      <alignment horizontal="right" wrapText="1"/>
    </xf>
    <xf numFmtId="4" fontId="3" fillId="0" borderId="0" xfId="0" applyNumberFormat="1" applyFont="1" applyBorder="1"/>
    <xf numFmtId="165" fontId="1" fillId="0" borderId="0" xfId="0" applyNumberFormat="1" applyFont="1" applyBorder="1"/>
    <xf numFmtId="3" fontId="1" fillId="0" borderId="0" xfId="0" applyNumberFormat="1" applyFont="1" applyBorder="1"/>
    <xf numFmtId="166" fontId="1" fillId="0" borderId="0" xfId="0" applyNumberFormat="1" applyFont="1" applyBorder="1"/>
    <xf numFmtId="0" fontId="1" fillId="0" borderId="0" xfId="0" applyFont="1" applyBorder="1"/>
    <xf numFmtId="4" fontId="1" fillId="0" borderId="0" xfId="0" applyNumberFormat="1" applyFont="1" applyBorder="1"/>
    <xf numFmtId="9" fontId="1" fillId="0" borderId="0" xfId="1" applyFont="1" applyBorder="1"/>
    <xf numFmtId="0" fontId="5" fillId="0" borderId="0" xfId="0" applyFont="1"/>
    <xf numFmtId="0" fontId="6" fillId="0" borderId="0" xfId="0" applyFont="1"/>
    <xf numFmtId="9" fontId="1" fillId="2" borderId="0" xfId="1" applyFont="1" applyFill="1" applyBorder="1"/>
    <xf numFmtId="0" fontId="7" fillId="0" borderId="0" xfId="0" applyFont="1"/>
    <xf numFmtId="2" fontId="1" fillId="2" borderId="0" xfId="0" applyNumberFormat="1" applyFont="1" applyFill="1" applyBorder="1"/>
    <xf numFmtId="169" fontId="3" fillId="0" borderId="0" xfId="0" applyNumberFormat="1" applyFont="1" applyAlignment="1">
      <alignment horizontal="right" wrapText="1"/>
    </xf>
    <xf numFmtId="169" fontId="3" fillId="0" borderId="0" xfId="0" applyNumberFormat="1" applyFont="1" applyBorder="1" applyAlignment="1">
      <alignment horizontal="right" wrapText="1"/>
    </xf>
    <xf numFmtId="169" fontId="3" fillId="0" borderId="0" xfId="0" applyNumberFormat="1" applyFont="1" applyBorder="1"/>
    <xf numFmtId="0" fontId="5" fillId="0" borderId="0" xfId="0" applyFont="1" applyFill="1" applyBorder="1"/>
    <xf numFmtId="0" fontId="7" fillId="0" borderId="0" xfId="0" applyFont="1" applyFill="1" applyBorder="1"/>
    <xf numFmtId="0" fontId="7" fillId="0" borderId="0" xfId="0" applyFont="1" applyBorder="1"/>
    <xf numFmtId="9" fontId="1" fillId="0" borderId="0" xfId="1" applyFont="1"/>
    <xf numFmtId="9" fontId="3" fillId="0" borderId="0" xfId="1" applyFont="1" applyBorder="1"/>
    <xf numFmtId="9" fontId="0" fillId="0" borderId="0" xfId="0" applyNumberFormat="1"/>
    <xf numFmtId="169" fontId="5" fillId="0" borderId="0" xfId="0" applyNumberFormat="1" applyFont="1" applyFill="1" applyBorder="1"/>
    <xf numFmtId="1" fontId="1" fillId="0" borderId="0" xfId="0" applyNumberFormat="1" applyFont="1" applyBorder="1"/>
    <xf numFmtId="9" fontId="1" fillId="0" borderId="0" xfId="1" applyFont="1" applyAlignment="1">
      <alignment horizontal="left"/>
    </xf>
    <xf numFmtId="3" fontId="1" fillId="0" borderId="0" xfId="0" applyNumberFormat="1" applyFont="1" applyAlignment="1">
      <alignment horizontal="left"/>
    </xf>
    <xf numFmtId="169" fontId="5" fillId="2" borderId="0" xfId="0" applyNumberFormat="1" applyFont="1" applyFill="1" applyBorder="1"/>
    <xf numFmtId="10" fontId="8" fillId="0" borderId="0" xfId="0" applyNumberFormat="1" applyFont="1"/>
    <xf numFmtId="1" fontId="0" fillId="0" borderId="0" xfId="0" applyNumberFormat="1"/>
    <xf numFmtId="9" fontId="0" fillId="0" borderId="0" xfId="1" applyFont="1"/>
    <xf numFmtId="9" fontId="7" fillId="0" borderId="0" xfId="1" applyFont="1"/>
    <xf numFmtId="2" fontId="0" fillId="0" borderId="0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K17"/>
  <sheetViews>
    <sheetView zoomScale="130" zoomScaleNormal="130" workbookViewId="0">
      <selection activeCell="H17" sqref="H17"/>
    </sheetView>
  </sheetViews>
  <sheetFormatPr defaultColWidth="12.5703125" defaultRowHeight="15.75" customHeight="1" x14ac:dyDescent="0.2"/>
  <cols>
    <col min="1" max="1" width="40.42578125" customWidth="1"/>
    <col min="2" max="2" width="13.140625" customWidth="1"/>
  </cols>
  <sheetData>
    <row r="2" spans="1:11" x14ac:dyDescent="0.2">
      <c r="A2" s="1"/>
      <c r="F2" s="1" t="s">
        <v>0</v>
      </c>
      <c r="G2" s="2">
        <v>2012</v>
      </c>
      <c r="I2" s="35"/>
      <c r="J2" s="35"/>
      <c r="K2" s="1"/>
    </row>
    <row r="3" spans="1:11" x14ac:dyDescent="0.2">
      <c r="D3" s="3"/>
      <c r="F3" s="1" t="s">
        <v>1</v>
      </c>
      <c r="G3" s="2">
        <v>2016</v>
      </c>
      <c r="I3" s="35" t="s">
        <v>2</v>
      </c>
      <c r="J3" s="35">
        <v>18</v>
      </c>
    </row>
    <row r="4" spans="1:11" x14ac:dyDescent="0.2">
      <c r="F4" s="1" t="s">
        <v>3</v>
      </c>
      <c r="G4" s="2">
        <v>1646</v>
      </c>
      <c r="I4" s="35" t="s">
        <v>4</v>
      </c>
      <c r="J4" s="33">
        <v>523485</v>
      </c>
    </row>
    <row r="5" spans="1:11" x14ac:dyDescent="0.2">
      <c r="A5" s="1"/>
      <c r="B5" s="1"/>
      <c r="I5" s="35" t="s">
        <v>5</v>
      </c>
      <c r="J5" s="32">
        <f>J3*J4</f>
        <v>9422730</v>
      </c>
    </row>
    <row r="6" spans="1:11" x14ac:dyDescent="0.2">
      <c r="I6" s="35" t="s">
        <v>6</v>
      </c>
      <c r="J6" s="32">
        <v>405654</v>
      </c>
    </row>
    <row r="7" spans="1:11" x14ac:dyDescent="0.2">
      <c r="A7" s="4"/>
      <c r="I7" s="35" t="s">
        <v>7</v>
      </c>
      <c r="J7" s="35">
        <v>0</v>
      </c>
    </row>
    <row r="8" spans="1:11" x14ac:dyDescent="0.2">
      <c r="I8" s="35" t="s">
        <v>8</v>
      </c>
      <c r="J8" s="32">
        <f>J5+J7-J6</f>
        <v>9017076</v>
      </c>
    </row>
    <row r="9" spans="1:11" ht="15.75" customHeight="1" x14ac:dyDescent="0.2">
      <c r="I9" s="25"/>
      <c r="J9" s="25"/>
    </row>
    <row r="10" spans="1:11" x14ac:dyDescent="0.2">
      <c r="I10" s="35" t="s">
        <v>9</v>
      </c>
      <c r="J10" s="32">
        <f>J6-J7</f>
        <v>405654</v>
      </c>
    </row>
    <row r="11" spans="1:11" ht="15.75" customHeight="1" x14ac:dyDescent="0.2">
      <c r="I11" s="25"/>
      <c r="J11" s="25"/>
    </row>
    <row r="12" spans="1:11" ht="15.75" customHeight="1" x14ac:dyDescent="0.2">
      <c r="I12" s="46" t="s">
        <v>67</v>
      </c>
      <c r="J12" s="61">
        <f>J5/Model!J4</f>
        <v>8.924831500263311</v>
      </c>
    </row>
    <row r="13" spans="1:11" ht="15.75" customHeight="1" x14ac:dyDescent="0.2">
      <c r="I13" s="48" t="s">
        <v>68</v>
      </c>
      <c r="J13" s="61">
        <f>J5/Model!J21</f>
        <v>-7.5353928904733687</v>
      </c>
    </row>
    <row r="14" spans="1:11" ht="15.75" customHeight="1" x14ac:dyDescent="0.2">
      <c r="I14" s="46" t="s">
        <v>69</v>
      </c>
      <c r="J14" s="61">
        <f>Screen!J5/Model!K21</f>
        <v>-18.888532275689549</v>
      </c>
    </row>
    <row r="15" spans="1:11" ht="15.75" customHeight="1" x14ac:dyDescent="0.2">
      <c r="I15" s="47" t="s">
        <v>70</v>
      </c>
      <c r="J15" s="61">
        <f>J8/(Model!J15+Model!J27)</f>
        <v>-7.0729764688441037</v>
      </c>
    </row>
    <row r="17" spans="1:1" x14ac:dyDescent="0.2">
      <c r="A17" s="1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N26"/>
  <sheetViews>
    <sheetView zoomScale="130" zoomScaleNormal="130" workbookViewId="0">
      <selection activeCell="B17" sqref="B17"/>
    </sheetView>
  </sheetViews>
  <sheetFormatPr defaultColWidth="12.5703125" defaultRowHeight="15.75" customHeight="1" x14ac:dyDescent="0.2"/>
  <cols>
    <col min="1" max="1" width="39.5703125" customWidth="1"/>
  </cols>
  <sheetData>
    <row r="2" spans="1:14" ht="12.75" x14ac:dyDescent="0.2">
      <c r="C2" s="1">
        <v>2023</v>
      </c>
      <c r="D2" s="1">
        <v>2024</v>
      </c>
      <c r="E2">
        <v>2025</v>
      </c>
    </row>
    <row r="4" spans="1:14" ht="12.75" x14ac:dyDescent="0.2">
      <c r="A4" s="38" t="s">
        <v>11</v>
      </c>
      <c r="C4" s="54">
        <v>1.22</v>
      </c>
      <c r="D4" s="54">
        <v>1.34</v>
      </c>
      <c r="E4" s="54">
        <v>1.36</v>
      </c>
      <c r="F4" s="2"/>
      <c r="G4" s="2"/>
      <c r="H4" s="2"/>
      <c r="I4" s="2"/>
      <c r="J4" s="2"/>
      <c r="K4" s="2"/>
      <c r="L4" s="2"/>
      <c r="M4" s="2"/>
      <c r="N4" s="2"/>
    </row>
    <row r="5" spans="1:14" ht="12.75" x14ac:dyDescent="0.2">
      <c r="A5" s="41" t="s">
        <v>71</v>
      </c>
      <c r="C5" s="55">
        <v>7233</v>
      </c>
      <c r="D5" s="55">
        <v>10517</v>
      </c>
      <c r="E5" s="55">
        <v>13861</v>
      </c>
      <c r="F5" s="2"/>
      <c r="G5" s="2"/>
      <c r="H5" s="2"/>
      <c r="I5" s="2"/>
      <c r="J5" s="2"/>
      <c r="K5" s="2"/>
      <c r="L5" s="2"/>
      <c r="M5" s="2"/>
      <c r="N5" s="2"/>
    </row>
    <row r="6" spans="1:14" ht="12.75" x14ac:dyDescent="0.2">
      <c r="A6" s="41" t="s">
        <v>72</v>
      </c>
      <c r="C6" s="55">
        <v>630</v>
      </c>
      <c r="D6" s="55">
        <v>9.6300000000000008</v>
      </c>
      <c r="E6" s="55">
        <v>14.05</v>
      </c>
      <c r="F6" s="2"/>
      <c r="G6" s="2"/>
      <c r="H6" s="2"/>
      <c r="I6" s="2"/>
      <c r="J6" s="2"/>
      <c r="K6" s="2"/>
      <c r="L6" s="2"/>
      <c r="M6" s="2"/>
      <c r="N6" s="2"/>
    </row>
    <row r="7" spans="1:14" ht="15.75" customHeight="1" x14ac:dyDescent="0.2">
      <c r="A7" s="1"/>
      <c r="C7" s="2"/>
      <c r="D7" s="6"/>
      <c r="E7" s="6"/>
      <c r="F7" s="2"/>
      <c r="G7" s="2"/>
      <c r="H7" s="2"/>
      <c r="I7" s="2"/>
      <c r="J7" s="2"/>
      <c r="K7" s="2"/>
      <c r="L7" s="2"/>
      <c r="M7" s="2"/>
      <c r="N7" s="2"/>
    </row>
    <row r="8" spans="1:14" ht="12.75" customHeight="1" x14ac:dyDescent="0.2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ht="12.75" customHeight="1" x14ac:dyDescent="0.2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ht="12.75" x14ac:dyDescent="0.2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ht="12.75" x14ac:dyDescent="0.2">
      <c r="C11" s="5"/>
      <c r="D11" s="5"/>
      <c r="E11" s="5"/>
      <c r="F11" s="2"/>
      <c r="G11" s="2"/>
      <c r="H11" s="2"/>
      <c r="I11" s="2"/>
      <c r="J11" s="2"/>
      <c r="K11" s="2"/>
      <c r="L11" s="2"/>
      <c r="M11" s="2"/>
      <c r="N11" s="2"/>
    </row>
    <row r="12" spans="1:14" ht="12.75" x14ac:dyDescent="0.2">
      <c r="A12" s="1"/>
      <c r="C12" s="2"/>
      <c r="D12" s="6"/>
      <c r="E12" s="6"/>
      <c r="F12" s="2"/>
      <c r="G12" s="2"/>
      <c r="H12" s="2"/>
      <c r="I12" s="2"/>
      <c r="J12" s="2"/>
      <c r="K12" s="2"/>
      <c r="L12" s="2"/>
      <c r="M12" s="2"/>
      <c r="N12" s="2"/>
    </row>
    <row r="13" spans="1:14" ht="12.75" x14ac:dyDescent="0.2">
      <c r="A13" s="1"/>
      <c r="C13" s="2"/>
      <c r="D13" s="6"/>
      <c r="E13" s="6"/>
      <c r="F13" s="2"/>
      <c r="G13" s="2"/>
      <c r="H13" s="2"/>
      <c r="I13" s="2"/>
      <c r="J13" s="2"/>
      <c r="K13" s="2"/>
      <c r="L13" s="2"/>
      <c r="M13" s="2"/>
      <c r="N13" s="2"/>
    </row>
    <row r="14" spans="1:14" ht="12.75" x14ac:dyDescent="0.2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ht="12.75" x14ac:dyDescent="0.2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7" spans="1:14" ht="12.75" x14ac:dyDescent="0.2">
      <c r="A17" s="1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 ht="12.75" x14ac:dyDescent="0.2">
      <c r="A18" s="1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 ht="12.75" x14ac:dyDescent="0.2">
      <c r="A19" s="1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 ht="12.75" x14ac:dyDescent="0.2">
      <c r="A20" s="1"/>
    </row>
    <row r="21" spans="1:14" ht="12.75" x14ac:dyDescent="0.2">
      <c r="A21" s="1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ht="12.75" x14ac:dyDescent="0.2">
      <c r="A22" s="1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 ht="12.75" x14ac:dyDescent="0.2">
      <c r="A23" s="1"/>
    </row>
    <row r="24" spans="1:14" ht="12.75" x14ac:dyDescent="0.2">
      <c r="A24" s="1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ht="12.75" x14ac:dyDescent="0.2">
      <c r="A25" s="1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ht="12.75" x14ac:dyDescent="0.2">
      <c r="A26" s="1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8"/>
  <sheetViews>
    <sheetView zoomScale="130" zoomScaleNormal="130" workbookViewId="0">
      <selection activeCell="C36" sqref="C36"/>
    </sheetView>
  </sheetViews>
  <sheetFormatPr defaultColWidth="12.5703125" defaultRowHeight="15.75" customHeight="1" x14ac:dyDescent="0.2"/>
  <cols>
    <col min="5" max="5" width="17.42578125" customWidth="1"/>
  </cols>
  <sheetData>
    <row r="1" spans="1:5" x14ac:dyDescent="0.2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</row>
    <row r="2" spans="1:5" x14ac:dyDescent="0.2">
      <c r="A2" s="1">
        <v>2024</v>
      </c>
      <c r="B2" s="1" t="s">
        <v>17</v>
      </c>
      <c r="C2" s="1" t="s">
        <v>18</v>
      </c>
    </row>
    <row r="3" spans="1:5" x14ac:dyDescent="0.2">
      <c r="A3" s="1">
        <v>2021</v>
      </c>
      <c r="B3" s="1" t="s">
        <v>19</v>
      </c>
      <c r="C3" s="1" t="s">
        <v>20</v>
      </c>
      <c r="D3" s="1" t="s">
        <v>21</v>
      </c>
    </row>
    <row r="4" spans="1:5" x14ac:dyDescent="0.2">
      <c r="A4" s="1">
        <v>2020</v>
      </c>
      <c r="B4" s="1" t="s">
        <v>22</v>
      </c>
      <c r="C4" s="1" t="s">
        <v>23</v>
      </c>
      <c r="D4" s="1" t="s">
        <v>24</v>
      </c>
      <c r="E4" s="1" t="s">
        <v>25</v>
      </c>
    </row>
    <row r="5" spans="1:5" x14ac:dyDescent="0.2">
      <c r="A5" s="1">
        <v>2019</v>
      </c>
      <c r="B5" s="1" t="s">
        <v>26</v>
      </c>
      <c r="C5" s="1" t="s">
        <v>27</v>
      </c>
      <c r="E5" s="1" t="s">
        <v>28</v>
      </c>
    </row>
    <row r="6" spans="1:5" x14ac:dyDescent="0.2">
      <c r="A6" s="1">
        <v>2018</v>
      </c>
      <c r="B6" s="1" t="s">
        <v>29</v>
      </c>
      <c r="C6" s="1" t="s">
        <v>30</v>
      </c>
    </row>
    <row r="7" spans="1:5" x14ac:dyDescent="0.2">
      <c r="A7" s="1">
        <v>2014</v>
      </c>
      <c r="B7" s="1" t="s">
        <v>31</v>
      </c>
      <c r="C7" s="1" t="s">
        <v>32</v>
      </c>
    </row>
    <row r="8" spans="1:5" x14ac:dyDescent="0.2">
      <c r="A8" s="1">
        <v>2013</v>
      </c>
      <c r="B8" s="1" t="s">
        <v>33</v>
      </c>
      <c r="C8" s="1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K70"/>
  <sheetViews>
    <sheetView showGridLines="0" tabSelected="1" zoomScale="130" zoomScaleNormal="130" workbookViewId="0">
      <pane xSplit="1" ySplit="2" topLeftCell="J9" activePane="bottomRight" state="frozen"/>
      <selection pane="topRight" activeCell="B1" sqref="B1"/>
      <selection pane="bottomLeft" activeCell="A3" sqref="A3"/>
      <selection pane="bottomRight" activeCell="Q40" sqref="Q40"/>
    </sheetView>
  </sheetViews>
  <sheetFormatPr defaultColWidth="12.5703125" defaultRowHeight="15.75" customHeight="1" x14ac:dyDescent="0.2"/>
  <cols>
    <col min="1" max="1" width="31" customWidth="1"/>
    <col min="6" max="7" width="13.7109375" customWidth="1"/>
    <col min="11" max="11" width="14" bestFit="1" customWidth="1"/>
  </cols>
  <sheetData>
    <row r="1" spans="1:37" x14ac:dyDescent="0.2">
      <c r="K1" s="1" t="s">
        <v>35</v>
      </c>
    </row>
    <row r="2" spans="1:37" x14ac:dyDescent="0.2">
      <c r="A2" s="1" t="s">
        <v>36</v>
      </c>
      <c r="H2" s="1">
        <v>2023</v>
      </c>
      <c r="I2" s="1">
        <v>2024</v>
      </c>
      <c r="J2" s="1">
        <v>2025</v>
      </c>
      <c r="K2" s="1">
        <f t="shared" ref="K2:AK2" si="0">J2+1</f>
        <v>2026</v>
      </c>
      <c r="L2" s="1">
        <f t="shared" si="0"/>
        <v>2027</v>
      </c>
      <c r="M2" s="1">
        <f t="shared" si="0"/>
        <v>2028</v>
      </c>
      <c r="N2" s="1">
        <f t="shared" si="0"/>
        <v>2029</v>
      </c>
      <c r="O2" s="1">
        <f t="shared" si="0"/>
        <v>2030</v>
      </c>
      <c r="P2" s="1">
        <f t="shared" si="0"/>
        <v>2031</v>
      </c>
      <c r="Q2" s="1">
        <f t="shared" si="0"/>
        <v>2032</v>
      </c>
      <c r="R2" s="1">
        <f t="shared" si="0"/>
        <v>2033</v>
      </c>
      <c r="S2" s="1">
        <f t="shared" si="0"/>
        <v>2034</v>
      </c>
      <c r="T2" s="1">
        <f t="shared" si="0"/>
        <v>2035</v>
      </c>
      <c r="U2" s="1">
        <f t="shared" si="0"/>
        <v>2036</v>
      </c>
      <c r="V2" s="1">
        <f t="shared" si="0"/>
        <v>2037</v>
      </c>
      <c r="W2" s="1">
        <f t="shared" si="0"/>
        <v>2038</v>
      </c>
      <c r="X2" s="1">
        <f t="shared" si="0"/>
        <v>2039</v>
      </c>
      <c r="Y2" s="1">
        <f t="shared" si="0"/>
        <v>2040</v>
      </c>
      <c r="Z2" s="1">
        <f t="shared" si="0"/>
        <v>2041</v>
      </c>
      <c r="AA2" s="1">
        <f t="shared" si="0"/>
        <v>2042</v>
      </c>
      <c r="AB2" s="1">
        <f t="shared" si="0"/>
        <v>2043</v>
      </c>
      <c r="AC2" s="1">
        <f t="shared" si="0"/>
        <v>2044</v>
      </c>
      <c r="AD2" s="1">
        <f t="shared" si="0"/>
        <v>2045</v>
      </c>
      <c r="AE2" s="1">
        <f t="shared" si="0"/>
        <v>2046</v>
      </c>
      <c r="AF2" s="1">
        <f t="shared" si="0"/>
        <v>2047</v>
      </c>
      <c r="AG2" s="1">
        <f t="shared" si="0"/>
        <v>2048</v>
      </c>
      <c r="AH2" s="1">
        <f t="shared" si="0"/>
        <v>2049</v>
      </c>
      <c r="AI2" s="1">
        <f t="shared" si="0"/>
        <v>2050</v>
      </c>
      <c r="AJ2" s="1">
        <f t="shared" si="0"/>
        <v>2051</v>
      </c>
      <c r="AK2" s="1">
        <f t="shared" si="0"/>
        <v>2052</v>
      </c>
    </row>
    <row r="3" spans="1:37" x14ac:dyDescent="0.2">
      <c r="A3" s="1"/>
      <c r="F3" s="8"/>
      <c r="G3" s="8"/>
      <c r="H3" s="8"/>
      <c r="I3" s="24"/>
      <c r="J3" s="24"/>
      <c r="K3" s="25"/>
    </row>
    <row r="4" spans="1:37" x14ac:dyDescent="0.2">
      <c r="A4" s="1" t="s">
        <v>37</v>
      </c>
      <c r="B4" s="9"/>
      <c r="C4" s="9"/>
      <c r="D4" s="9"/>
      <c r="E4" s="9"/>
      <c r="F4" s="10"/>
      <c r="G4" s="10"/>
      <c r="H4" s="22">
        <v>504874</v>
      </c>
      <c r="I4" s="26">
        <v>749011</v>
      </c>
      <c r="J4" s="26">
        <v>1055788</v>
      </c>
      <c r="K4" s="26">
        <f>J4*(1+K5)</f>
        <v>1425313.8</v>
      </c>
      <c r="L4" s="26">
        <f t="shared" ref="L4:T4" si="1">K4*(1+L5)</f>
        <v>1852907.9400000002</v>
      </c>
      <c r="M4" s="26">
        <f t="shared" si="1"/>
        <v>2408780.3220000002</v>
      </c>
      <c r="N4" s="26">
        <f t="shared" si="1"/>
        <v>3131414.4186000004</v>
      </c>
      <c r="O4" s="26">
        <f t="shared" si="1"/>
        <v>4070838.7441800009</v>
      </c>
      <c r="P4" s="26">
        <f t="shared" si="1"/>
        <v>4477922.6185980011</v>
      </c>
      <c r="Q4" s="26">
        <f t="shared" si="1"/>
        <v>4925714.8804578017</v>
      </c>
      <c r="R4" s="26">
        <f t="shared" si="1"/>
        <v>5418286.3685035827</v>
      </c>
      <c r="S4" s="26">
        <f t="shared" si="1"/>
        <v>5960115.0053539416</v>
      </c>
      <c r="T4" s="26">
        <f t="shared" si="1"/>
        <v>6556126.5058893366</v>
      </c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37" x14ac:dyDescent="0.2">
      <c r="A5" s="39" t="s">
        <v>56</v>
      </c>
      <c r="B5" s="9"/>
      <c r="C5" s="9"/>
      <c r="D5" s="9"/>
      <c r="E5" s="9"/>
      <c r="F5" s="10"/>
      <c r="G5" s="10"/>
      <c r="H5" s="22"/>
      <c r="I5" s="37">
        <f>I4/H4-1</f>
        <v>0.48356025463779084</v>
      </c>
      <c r="J5" s="37">
        <f>J4/I4-1</f>
        <v>0.40957609434307374</v>
      </c>
      <c r="K5" s="37">
        <v>0.35</v>
      </c>
      <c r="L5" s="49">
        <v>0.3</v>
      </c>
      <c r="M5" s="49">
        <v>0.3</v>
      </c>
      <c r="N5" s="49">
        <v>0.3</v>
      </c>
      <c r="O5" s="49">
        <v>0.3</v>
      </c>
      <c r="P5" s="49">
        <v>0.1</v>
      </c>
      <c r="Q5" s="49">
        <v>0.1</v>
      </c>
      <c r="R5" s="49">
        <v>0.1</v>
      </c>
      <c r="S5" s="49">
        <v>0.1</v>
      </c>
      <c r="T5" s="49">
        <v>0.1</v>
      </c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</row>
    <row r="6" spans="1:37" x14ac:dyDescent="0.2">
      <c r="A6" s="1" t="s">
        <v>38</v>
      </c>
      <c r="B6" s="9"/>
      <c r="C6" s="9"/>
      <c r="D6" s="9"/>
      <c r="E6" s="9"/>
      <c r="F6" s="10"/>
      <c r="G6" s="10"/>
      <c r="H6" s="22">
        <v>44500</v>
      </c>
      <c r="I6" s="26">
        <v>87514</v>
      </c>
      <c r="J6" s="26">
        <v>185527</v>
      </c>
      <c r="K6" s="26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</row>
    <row r="7" spans="1:37" x14ac:dyDescent="0.2">
      <c r="B7" s="9"/>
      <c r="C7" s="9"/>
      <c r="D7" s="9"/>
      <c r="E7" s="9"/>
      <c r="F7" s="9"/>
      <c r="G7" s="9"/>
      <c r="H7" s="22"/>
      <c r="I7" s="26"/>
      <c r="J7" s="26"/>
      <c r="K7" s="26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</row>
    <row r="8" spans="1:37" x14ac:dyDescent="0.2">
      <c r="A8" s="1" t="s">
        <v>39</v>
      </c>
      <c r="B8" s="9"/>
      <c r="C8" s="9"/>
      <c r="D8" s="9"/>
      <c r="E8" s="10"/>
      <c r="F8" s="10"/>
      <c r="G8" s="10"/>
      <c r="H8" s="22">
        <f>H4-H6</f>
        <v>460374</v>
      </c>
      <c r="I8" s="26">
        <f>I4-I6</f>
        <v>661497</v>
      </c>
      <c r="J8" s="26">
        <f>J4-J6</f>
        <v>870261</v>
      </c>
      <c r="K8" s="26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</row>
    <row r="9" spans="1:37" x14ac:dyDescent="0.2">
      <c r="A9" s="39" t="s">
        <v>55</v>
      </c>
      <c r="B9" s="9"/>
      <c r="C9" s="9"/>
      <c r="D9" s="9"/>
      <c r="E9" s="10"/>
      <c r="F9" s="10"/>
      <c r="G9" s="10"/>
      <c r="H9" s="37">
        <f t="shared" ref="H9:I9" si="2">H8/H4</f>
        <v>0.91185919655201098</v>
      </c>
      <c r="I9" s="37">
        <f t="shared" si="2"/>
        <v>0.88316059443719785</v>
      </c>
      <c r="J9" s="37">
        <f>J8/J4</f>
        <v>0.82427627516130131</v>
      </c>
      <c r="K9" s="26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</row>
    <row r="10" spans="1:37" x14ac:dyDescent="0.2">
      <c r="B10" s="9"/>
      <c r="C10" s="9"/>
      <c r="D10" s="9"/>
      <c r="E10" s="10"/>
      <c r="F10" s="10"/>
      <c r="G10" s="10"/>
      <c r="H10" s="22"/>
      <c r="I10" s="26"/>
      <c r="J10" s="26"/>
      <c r="K10" s="26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</row>
    <row r="11" spans="1:37" x14ac:dyDescent="0.2">
      <c r="A11" s="1" t="s">
        <v>40</v>
      </c>
      <c r="B11" s="9"/>
      <c r="C11" s="9"/>
      <c r="D11" s="9"/>
      <c r="E11" s="9"/>
      <c r="F11" s="9"/>
      <c r="G11" s="9"/>
      <c r="H11" s="22">
        <v>164774</v>
      </c>
      <c r="I11" s="26">
        <v>751120</v>
      </c>
      <c r="J11" s="26">
        <v>1029700</v>
      </c>
      <c r="K11" s="26"/>
      <c r="L11" s="22"/>
      <c r="M11" s="22"/>
      <c r="N11" s="22"/>
      <c r="O11" s="22"/>
      <c r="P11" s="49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</row>
    <row r="12" spans="1:37" x14ac:dyDescent="0.2">
      <c r="A12" s="1" t="s">
        <v>41</v>
      </c>
      <c r="B12" s="9"/>
      <c r="C12" s="9"/>
      <c r="D12" s="9"/>
      <c r="E12" s="10"/>
      <c r="F12" s="10"/>
      <c r="G12" s="10"/>
      <c r="H12" s="22">
        <v>201377</v>
      </c>
      <c r="I12" s="26">
        <v>472076</v>
      </c>
      <c r="J12" s="26">
        <v>575508</v>
      </c>
      <c r="K12" s="26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</row>
    <row r="13" spans="1:37" x14ac:dyDescent="0.2">
      <c r="A13" s="1" t="s">
        <v>42</v>
      </c>
      <c r="B13" s="9"/>
      <c r="C13" s="9"/>
      <c r="D13" s="9"/>
      <c r="E13" s="7"/>
      <c r="F13" s="7"/>
      <c r="G13" s="7"/>
      <c r="H13" s="22">
        <v>167679</v>
      </c>
      <c r="I13" s="26">
        <v>315734</v>
      </c>
      <c r="J13" s="26">
        <v>555510</v>
      </c>
      <c r="K13" s="26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</row>
    <row r="14" spans="1:37" x14ac:dyDescent="0.2">
      <c r="B14" s="9"/>
      <c r="C14" s="9"/>
      <c r="D14" s="9"/>
      <c r="E14" s="9"/>
      <c r="F14" s="9"/>
      <c r="G14" s="9"/>
      <c r="H14" s="22"/>
      <c r="I14" s="26"/>
      <c r="J14" s="26"/>
      <c r="K14" s="26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</row>
    <row r="15" spans="1:37" x14ac:dyDescent="0.2">
      <c r="A15" s="1" t="s">
        <v>43</v>
      </c>
      <c r="B15" s="9"/>
      <c r="C15" s="9"/>
      <c r="D15" s="9"/>
      <c r="E15" s="10"/>
      <c r="F15" s="10"/>
      <c r="G15" s="10"/>
      <c r="H15" s="22">
        <f t="shared" ref="H15:J15" si="3">H8-SUM(H11:H13)</f>
        <v>-73456</v>
      </c>
      <c r="I15" s="26">
        <f t="shared" ref="I15" si="4">I8-SUM(I11:I13)</f>
        <v>-877433</v>
      </c>
      <c r="J15" s="26">
        <f>J8-SUM(J11:J13)</f>
        <v>-1290457</v>
      </c>
      <c r="K15" s="26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</row>
    <row r="16" spans="1:37" x14ac:dyDescent="0.2">
      <c r="A16" s="1" t="s">
        <v>44</v>
      </c>
      <c r="B16" s="9"/>
      <c r="C16" s="9"/>
      <c r="D16" s="9"/>
      <c r="E16" s="10"/>
      <c r="F16" s="10"/>
      <c r="G16" s="10"/>
      <c r="H16" s="22">
        <f t="shared" ref="H16:J16" si="5">H15-H18</f>
        <v>-1019375</v>
      </c>
      <c r="I16" s="26">
        <f t="shared" ref="I16" si="6">I15-I18</f>
        <v>-84362</v>
      </c>
      <c r="J16" s="26">
        <f t="shared" si="5"/>
        <v>-64815</v>
      </c>
      <c r="K16" s="26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</row>
    <row r="17" spans="1:37" x14ac:dyDescent="0.2">
      <c r="B17" s="9"/>
      <c r="C17" s="9"/>
      <c r="D17" s="9"/>
      <c r="E17" s="10"/>
      <c r="F17" s="10"/>
      <c r="G17" s="10"/>
      <c r="H17" s="22"/>
      <c r="I17" s="26"/>
      <c r="J17" s="26"/>
      <c r="K17" s="26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</row>
    <row r="18" spans="1:37" x14ac:dyDescent="0.2">
      <c r="A18" s="1" t="s">
        <v>45</v>
      </c>
      <c r="B18" s="9"/>
      <c r="C18" s="9"/>
      <c r="D18" s="9"/>
      <c r="E18" s="10"/>
      <c r="F18" s="10"/>
      <c r="G18" s="10"/>
      <c r="H18" s="22">
        <v>945919</v>
      </c>
      <c r="I18" s="26">
        <v>-793071</v>
      </c>
      <c r="J18" s="26">
        <v>-1225642</v>
      </c>
      <c r="K18" s="26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</row>
    <row r="19" spans="1:37" x14ac:dyDescent="0.2">
      <c r="A19" s="1" t="s">
        <v>46</v>
      </c>
      <c r="B19" s="11"/>
      <c r="C19" s="11"/>
      <c r="D19" s="11"/>
      <c r="E19" s="12"/>
      <c r="F19" s="12"/>
      <c r="G19" s="12"/>
      <c r="H19" s="23">
        <f t="shared" ref="H19:J19" si="7">H21-H18</f>
        <v>-208078</v>
      </c>
      <c r="I19" s="27">
        <f t="shared" ref="I19" si="8">I21-I18</f>
        <v>60951</v>
      </c>
      <c r="J19" s="27">
        <f t="shared" si="7"/>
        <v>-24821</v>
      </c>
      <c r="K19" s="26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</row>
    <row r="20" spans="1:37" x14ac:dyDescent="0.2">
      <c r="B20" s="11"/>
      <c r="C20" s="11"/>
      <c r="D20" s="11"/>
      <c r="E20" s="11"/>
      <c r="F20" s="11"/>
      <c r="G20" s="11"/>
      <c r="H20" s="23"/>
      <c r="I20" s="27"/>
      <c r="J20" s="27"/>
      <c r="K20" s="26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</row>
    <row r="21" spans="1:37" x14ac:dyDescent="0.2">
      <c r="A21" s="1" t="s">
        <v>47</v>
      </c>
      <c r="B21" s="11"/>
      <c r="C21" s="11"/>
      <c r="D21" s="11"/>
      <c r="E21" s="12"/>
      <c r="F21" s="12"/>
      <c r="G21" s="12"/>
      <c r="H21" s="23">
        <v>737841</v>
      </c>
      <c r="I21" s="27">
        <v>-732120</v>
      </c>
      <c r="J21" s="27">
        <v>-1250463</v>
      </c>
      <c r="K21" s="26">
        <f>K4*K22</f>
        <v>-498859.82999999996</v>
      </c>
      <c r="L21" s="26">
        <f t="shared" ref="L21:O21" si="9">L4*L22</f>
        <v>-185290.79400000002</v>
      </c>
      <c r="M21" s="26">
        <f t="shared" si="9"/>
        <v>0</v>
      </c>
      <c r="N21" s="26">
        <f t="shared" si="9"/>
        <v>313141.44186000008</v>
      </c>
      <c r="O21" s="26">
        <f t="shared" si="9"/>
        <v>814167.74883600022</v>
      </c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</row>
    <row r="22" spans="1:37" x14ac:dyDescent="0.2">
      <c r="A22" s="39" t="s">
        <v>58</v>
      </c>
      <c r="B22" s="11"/>
      <c r="C22" s="11"/>
      <c r="D22" s="11"/>
      <c r="E22" s="14"/>
      <c r="F22" s="14"/>
      <c r="G22" s="14"/>
      <c r="H22" s="40">
        <f>H21/H4</f>
        <v>1.4614359226262394</v>
      </c>
      <c r="I22" s="40">
        <f>I21/I4</f>
        <v>-0.97744892932146521</v>
      </c>
      <c r="J22" s="40">
        <f>J21/J4</f>
        <v>-1.1843883431143374</v>
      </c>
      <c r="K22" s="28">
        <v>-0.35</v>
      </c>
      <c r="L22" s="15">
        <v>-0.1</v>
      </c>
      <c r="M22" s="15">
        <v>0</v>
      </c>
      <c r="N22" s="15">
        <v>0.1</v>
      </c>
      <c r="O22" s="15">
        <v>0.2</v>
      </c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</row>
    <row r="23" spans="1:37" x14ac:dyDescent="0.2">
      <c r="A23" s="38" t="s">
        <v>57</v>
      </c>
      <c r="B23" s="11"/>
      <c r="C23" s="11"/>
      <c r="D23" s="11"/>
      <c r="E23" s="12"/>
      <c r="F23" s="12"/>
      <c r="G23" s="12"/>
      <c r="H23" s="23">
        <v>168399</v>
      </c>
      <c r="I23" s="27">
        <v>195612</v>
      </c>
      <c r="J23" s="27">
        <v>337044</v>
      </c>
      <c r="K23" s="56">
        <v>523000</v>
      </c>
      <c r="L23" s="56">
        <v>523000</v>
      </c>
      <c r="M23" s="56">
        <v>523000</v>
      </c>
      <c r="N23" s="56">
        <v>523000</v>
      </c>
      <c r="O23" s="56">
        <v>523000</v>
      </c>
    </row>
    <row r="24" spans="1:37" x14ac:dyDescent="0.2">
      <c r="A24" s="38" t="s">
        <v>59</v>
      </c>
      <c r="B24" s="11"/>
      <c r="C24" s="11"/>
      <c r="D24" s="11"/>
      <c r="E24" s="14"/>
      <c r="F24" s="14"/>
      <c r="G24" s="14"/>
      <c r="H24" s="42">
        <f>H21/H23</f>
        <v>4.3815046407639002</v>
      </c>
      <c r="I24" s="42">
        <f>I21/I23</f>
        <v>-3.7427151708484141</v>
      </c>
      <c r="J24" s="42">
        <f>J21/J23</f>
        <v>-3.7100882970769393</v>
      </c>
      <c r="K24" s="42">
        <f>K21/K23</f>
        <v>-0.95384288718929244</v>
      </c>
      <c r="L24" s="42">
        <f t="shared" ref="L24:O24" si="10">L21/L23</f>
        <v>-0.35428450095602299</v>
      </c>
      <c r="M24" s="42">
        <f t="shared" si="10"/>
        <v>0</v>
      </c>
      <c r="N24" s="42">
        <f t="shared" si="10"/>
        <v>0.59874080661567897</v>
      </c>
      <c r="O24" s="42">
        <f t="shared" si="10"/>
        <v>1.5567260972007653</v>
      </c>
    </row>
    <row r="25" spans="1:37" x14ac:dyDescent="0.2">
      <c r="A25" s="39" t="s">
        <v>73</v>
      </c>
      <c r="B25" s="11"/>
      <c r="C25" s="11"/>
      <c r="D25" s="11"/>
      <c r="E25" s="14"/>
      <c r="F25" s="14"/>
      <c r="G25" s="14"/>
      <c r="H25" s="40"/>
      <c r="I25" s="40">
        <f>I23/H23-1</f>
        <v>0.16159834678353202</v>
      </c>
      <c r="J25" s="40">
        <f>J23/I23-1</f>
        <v>0.7230231274154959</v>
      </c>
      <c r="K25" s="40">
        <f>K23/J23-1</f>
        <v>0.55172618411839403</v>
      </c>
      <c r="L25" s="40">
        <v>0.05</v>
      </c>
      <c r="M25" s="40">
        <v>0.05</v>
      </c>
      <c r="N25" s="40">
        <v>0.05</v>
      </c>
      <c r="O25" s="40">
        <v>0.05</v>
      </c>
    </row>
    <row r="26" spans="1:37" x14ac:dyDescent="0.2">
      <c r="B26" s="11"/>
      <c r="C26" s="11"/>
      <c r="D26" s="11"/>
      <c r="E26" s="11"/>
      <c r="F26" s="11"/>
      <c r="G26" s="11"/>
      <c r="H26" s="11"/>
      <c r="I26" s="29"/>
      <c r="J26" s="29"/>
      <c r="K26" s="25"/>
    </row>
    <row r="27" spans="1:37" x14ac:dyDescent="0.2">
      <c r="A27" s="38" t="s">
        <v>60</v>
      </c>
      <c r="B27" s="11"/>
      <c r="C27" s="11"/>
      <c r="D27" s="11"/>
      <c r="E27" s="11"/>
      <c r="F27" s="11"/>
      <c r="G27" s="11"/>
      <c r="H27" s="23">
        <v>8497</v>
      </c>
      <c r="I27" s="27">
        <v>7691</v>
      </c>
      <c r="J27" s="27">
        <v>15594</v>
      </c>
      <c r="K27" s="25"/>
    </row>
    <row r="28" spans="1:37" x14ac:dyDescent="0.2">
      <c r="A28" s="38" t="s">
        <v>61</v>
      </c>
      <c r="B28" s="16"/>
      <c r="C28" s="16"/>
      <c r="D28" s="16"/>
      <c r="E28" s="16"/>
      <c r="F28" s="16"/>
      <c r="G28" s="16"/>
      <c r="H28" s="43">
        <v>2703</v>
      </c>
      <c r="I28" s="44">
        <v>947553</v>
      </c>
      <c r="J28" s="45">
        <v>1364133</v>
      </c>
      <c r="K28" s="28"/>
      <c r="L28" s="1"/>
    </row>
    <row r="29" spans="1:37" x14ac:dyDescent="0.2">
      <c r="A29" s="38" t="s">
        <v>62</v>
      </c>
      <c r="B29" s="16"/>
      <c r="C29" s="16"/>
      <c r="D29" s="16"/>
      <c r="E29" s="16"/>
      <c r="F29" s="16"/>
      <c r="G29" s="16"/>
      <c r="H29" s="45">
        <f t="shared" ref="H29:I29" si="11">H30-H21-H28-H27</f>
        <v>298293</v>
      </c>
      <c r="I29" s="45">
        <f t="shared" si="11"/>
        <v>-284841</v>
      </c>
      <c r="J29" s="45">
        <f>J30-J21-J28-J27</f>
        <v>121417</v>
      </c>
      <c r="K29" s="28"/>
      <c r="L29" s="1"/>
    </row>
    <row r="30" spans="1:37" x14ac:dyDescent="0.2">
      <c r="A30" s="38" t="s">
        <v>63</v>
      </c>
      <c r="B30" s="16"/>
      <c r="C30" s="16"/>
      <c r="D30" s="16"/>
      <c r="E30" s="16"/>
      <c r="F30" s="16"/>
      <c r="G30" s="16"/>
      <c r="H30" s="43">
        <v>1047334</v>
      </c>
      <c r="I30" s="44">
        <v>-61717</v>
      </c>
      <c r="J30" s="45">
        <v>250681</v>
      </c>
      <c r="K30" s="32"/>
      <c r="L30" s="1"/>
    </row>
    <row r="31" spans="1:37" x14ac:dyDescent="0.2">
      <c r="A31" s="38" t="s">
        <v>64</v>
      </c>
      <c r="B31" s="16"/>
      <c r="C31" s="16"/>
      <c r="D31" s="16"/>
      <c r="E31" s="16"/>
      <c r="F31" s="16"/>
      <c r="G31" s="16"/>
      <c r="H31" s="43">
        <f>88+3737</f>
        <v>3825</v>
      </c>
      <c r="I31" s="44">
        <f>920+1977</f>
        <v>2897</v>
      </c>
      <c r="J31" s="45">
        <f>5244+4444</f>
        <v>9688</v>
      </c>
      <c r="K31" s="33"/>
      <c r="L31" s="1"/>
    </row>
    <row r="32" spans="1:37" x14ac:dyDescent="0.2">
      <c r="A32" s="38" t="s">
        <v>65</v>
      </c>
      <c r="B32" s="16"/>
      <c r="C32" s="16"/>
      <c r="D32" s="16"/>
      <c r="E32" s="16"/>
      <c r="F32" s="16"/>
      <c r="G32" s="16"/>
      <c r="H32" s="45">
        <f t="shared" ref="H32:I32" si="12">H30-H31</f>
        <v>1043509</v>
      </c>
      <c r="I32" s="45">
        <f t="shared" si="12"/>
        <v>-64614</v>
      </c>
      <c r="J32" s="45">
        <f>J30-J31</f>
        <v>240993</v>
      </c>
      <c r="K32" s="26">
        <f>K4*K33</f>
        <v>213797.07</v>
      </c>
      <c r="L32" s="26">
        <f t="shared" ref="L32:T32" si="13">L4*L33</f>
        <v>277936.19099999999</v>
      </c>
      <c r="M32" s="26">
        <f t="shared" si="13"/>
        <v>361317.04830000002</v>
      </c>
      <c r="N32" s="26">
        <f t="shared" si="13"/>
        <v>469712.16279000003</v>
      </c>
      <c r="O32" s="26">
        <f t="shared" si="13"/>
        <v>610625.8116270001</v>
      </c>
      <c r="P32" s="26">
        <f t="shared" si="13"/>
        <v>895584.52371960029</v>
      </c>
      <c r="Q32" s="26">
        <f t="shared" si="13"/>
        <v>985142.97609156044</v>
      </c>
      <c r="R32" s="26">
        <f t="shared" si="13"/>
        <v>1083657.2737007167</v>
      </c>
      <c r="S32" s="26">
        <f t="shared" si="13"/>
        <v>1192023.0010707884</v>
      </c>
      <c r="T32" s="26">
        <f t="shared" si="13"/>
        <v>1311225.3011778675</v>
      </c>
      <c r="U32" s="52">
        <f>T32*(1+$M$36)</f>
        <v>1285000.7951543101</v>
      </c>
      <c r="V32" s="52">
        <f t="shared" ref="V32:AK32" si="14">U32*(1+$M$36)</f>
        <v>1259300.7792512239</v>
      </c>
      <c r="W32" s="52">
        <f t="shared" si="14"/>
        <v>1234114.7636661993</v>
      </c>
      <c r="X32" s="52">
        <f t="shared" si="14"/>
        <v>1209432.4683928753</v>
      </c>
      <c r="Y32" s="52">
        <f t="shared" si="14"/>
        <v>1185243.8190250178</v>
      </c>
      <c r="Z32" s="52">
        <f t="shared" si="14"/>
        <v>1161538.9426445174</v>
      </c>
      <c r="AA32" s="52">
        <f t="shared" si="14"/>
        <v>1138308.1637916269</v>
      </c>
      <c r="AB32" s="52">
        <f t="shared" si="14"/>
        <v>1115542.0005157944</v>
      </c>
      <c r="AC32" s="52">
        <f t="shared" si="14"/>
        <v>1093231.1605054785</v>
      </c>
      <c r="AD32" s="52">
        <f t="shared" si="14"/>
        <v>1071366.537295369</v>
      </c>
      <c r="AE32" s="52">
        <f t="shared" si="14"/>
        <v>1049939.2065494615</v>
      </c>
      <c r="AF32" s="52">
        <f t="shared" si="14"/>
        <v>1028940.4224184722</v>
      </c>
      <c r="AG32" s="52">
        <f t="shared" si="14"/>
        <v>1008361.6139701027</v>
      </c>
      <c r="AH32" s="52">
        <f t="shared" si="14"/>
        <v>988194.38169070065</v>
      </c>
      <c r="AI32" s="52">
        <f t="shared" si="14"/>
        <v>968430.49405688664</v>
      </c>
      <c r="AJ32" s="52">
        <f t="shared" si="14"/>
        <v>949061.88417574891</v>
      </c>
      <c r="AK32" s="52">
        <f t="shared" si="14"/>
        <v>930080.64649223397</v>
      </c>
    </row>
    <row r="33" spans="1:37" x14ac:dyDescent="0.2">
      <c r="A33" s="39" t="s">
        <v>66</v>
      </c>
      <c r="B33" s="16"/>
      <c r="C33" s="16"/>
      <c r="D33" s="16"/>
      <c r="E33" s="16"/>
      <c r="F33" s="16"/>
      <c r="G33" s="16"/>
      <c r="H33" s="50">
        <f>H32/H4</f>
        <v>2.0668701497799451</v>
      </c>
      <c r="I33" s="50">
        <f>I32/I4</f>
        <v>-8.6265755776617437E-2</v>
      </c>
      <c r="J33" s="50">
        <f>J32/J4</f>
        <v>0.22825889288379864</v>
      </c>
      <c r="K33" s="28">
        <v>0.15</v>
      </c>
      <c r="L33" s="28">
        <v>0.15</v>
      </c>
      <c r="M33" s="28">
        <v>0.15</v>
      </c>
      <c r="N33" s="28">
        <v>0.15</v>
      </c>
      <c r="O33" s="28">
        <v>0.15</v>
      </c>
      <c r="P33" s="51">
        <v>0.2</v>
      </c>
      <c r="Q33" s="51">
        <v>0.2</v>
      </c>
      <c r="R33" s="51">
        <v>0.2</v>
      </c>
      <c r="S33" s="51">
        <v>0.2</v>
      </c>
      <c r="T33" s="51">
        <v>0.2</v>
      </c>
    </row>
    <row r="34" spans="1:37" x14ac:dyDescent="0.2">
      <c r="B34" s="16"/>
      <c r="C34" s="16"/>
      <c r="D34" s="16"/>
      <c r="E34" s="16"/>
      <c r="F34" s="16"/>
      <c r="G34" s="16"/>
      <c r="H34" s="16"/>
      <c r="I34" s="30"/>
      <c r="J34" s="31"/>
      <c r="K34" s="28"/>
      <c r="L34" s="1"/>
      <c r="M34" s="7"/>
      <c r="N34" s="7"/>
      <c r="O34" s="7"/>
      <c r="P34" s="7"/>
      <c r="Q34" s="7"/>
      <c r="R34" s="7"/>
    </row>
    <row r="35" spans="1:37" x14ac:dyDescent="0.2">
      <c r="B35" s="16"/>
      <c r="C35" s="16"/>
      <c r="D35" s="16"/>
      <c r="E35" s="16"/>
      <c r="F35" s="16"/>
      <c r="G35" s="16"/>
      <c r="H35" s="16"/>
      <c r="I35" s="16"/>
      <c r="J35" s="36"/>
      <c r="K35" s="7"/>
      <c r="L35" s="57" t="s">
        <v>74</v>
      </c>
      <c r="M35" s="7"/>
      <c r="N35" s="7"/>
      <c r="O35" s="57" t="s">
        <v>75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">
      <c r="A36" s="1"/>
      <c r="B36" s="16"/>
      <c r="C36" s="16"/>
      <c r="D36" s="16"/>
      <c r="E36" s="16"/>
      <c r="F36" s="16"/>
      <c r="G36" s="16"/>
      <c r="H36" s="16"/>
      <c r="I36" s="16"/>
      <c r="J36" s="31"/>
      <c r="K36" s="28"/>
      <c r="L36" s="1" t="s">
        <v>48</v>
      </c>
      <c r="M36" s="28">
        <v>-0.02</v>
      </c>
      <c r="O36" s="41" t="s">
        <v>68</v>
      </c>
      <c r="P36">
        <v>10</v>
      </c>
      <c r="Q36">
        <v>15</v>
      </c>
      <c r="R36">
        <v>20</v>
      </c>
      <c r="S36">
        <v>25</v>
      </c>
      <c r="T36">
        <v>30</v>
      </c>
      <c r="U36">
        <v>35</v>
      </c>
      <c r="V36">
        <v>40</v>
      </c>
    </row>
    <row r="37" spans="1:37" x14ac:dyDescent="0.2">
      <c r="A37" s="1"/>
      <c r="B37" s="16"/>
      <c r="C37" s="16"/>
      <c r="D37" s="16"/>
      <c r="E37" s="16"/>
      <c r="F37" s="16"/>
      <c r="G37" s="16"/>
      <c r="H37" s="16"/>
      <c r="I37" s="16"/>
      <c r="J37" s="31"/>
      <c r="K37" s="28"/>
      <c r="L37" s="1" t="s">
        <v>49</v>
      </c>
      <c r="M37" s="28">
        <v>0.08</v>
      </c>
      <c r="O37" s="41" t="s">
        <v>76</v>
      </c>
      <c r="P37">
        <f>M41</f>
        <v>18</v>
      </c>
      <c r="Q37">
        <f>P37</f>
        <v>18</v>
      </c>
      <c r="R37">
        <f t="shared" ref="R37:V37" si="15">Q37</f>
        <v>18</v>
      </c>
      <c r="S37">
        <f t="shared" si="15"/>
        <v>18</v>
      </c>
      <c r="T37">
        <f t="shared" si="15"/>
        <v>18</v>
      </c>
      <c r="U37">
        <f t="shared" si="15"/>
        <v>18</v>
      </c>
      <c r="V37">
        <f t="shared" si="15"/>
        <v>18</v>
      </c>
    </row>
    <row r="38" spans="1:37" x14ac:dyDescent="0.2">
      <c r="A38" s="1"/>
      <c r="B38" s="16"/>
      <c r="C38" s="16"/>
      <c r="D38" s="16"/>
      <c r="E38" s="16"/>
      <c r="F38" s="16"/>
      <c r="G38" s="16"/>
      <c r="H38" s="16"/>
      <c r="I38" s="16"/>
      <c r="J38" s="31"/>
      <c r="K38" s="32"/>
      <c r="L38" s="1" t="s">
        <v>50</v>
      </c>
      <c r="M38" s="26">
        <f>NPV(M37,K32:AK32)</f>
        <v>9223210.6223607659</v>
      </c>
      <c r="O38" s="41" t="s">
        <v>77</v>
      </c>
      <c r="P38" s="58">
        <f>$O$24*P36</f>
        <v>15.567260972007652</v>
      </c>
      <c r="Q38" s="58">
        <f t="shared" ref="Q38:V38" si="16">$O$24*Q36</f>
        <v>23.350891458011478</v>
      </c>
      <c r="R38" s="58">
        <f t="shared" si="16"/>
        <v>31.134521944015304</v>
      </c>
      <c r="S38" s="58">
        <f t="shared" si="16"/>
        <v>38.918152430019134</v>
      </c>
      <c r="T38" s="58">
        <f t="shared" si="16"/>
        <v>46.701782916022957</v>
      </c>
      <c r="U38" s="58">
        <f t="shared" si="16"/>
        <v>54.485413402026786</v>
      </c>
      <c r="V38" s="58">
        <f t="shared" si="16"/>
        <v>62.269043888030609</v>
      </c>
    </row>
    <row r="39" spans="1:37" x14ac:dyDescent="0.2">
      <c r="A39" s="1"/>
      <c r="B39" s="16"/>
      <c r="C39" s="16"/>
      <c r="D39" s="16"/>
      <c r="E39" s="16"/>
      <c r="F39" s="16"/>
      <c r="G39" s="16"/>
      <c r="H39" s="16"/>
      <c r="I39" s="16"/>
      <c r="J39" s="31"/>
      <c r="K39" s="33"/>
      <c r="L39" s="1" t="s">
        <v>51</v>
      </c>
      <c r="M39" s="33">
        <f>Screen!J4</f>
        <v>523485</v>
      </c>
      <c r="O39" s="41" t="s">
        <v>54</v>
      </c>
      <c r="P39" s="59">
        <f>P38/P37-1</f>
        <v>-0.1351521682217971</v>
      </c>
      <c r="Q39" s="59">
        <f t="shared" ref="Q39:V39" si="17">Q38/Q37-1</f>
        <v>0.29727174766730435</v>
      </c>
      <c r="R39" s="59">
        <f t="shared" si="17"/>
        <v>0.7296956635564058</v>
      </c>
      <c r="S39" s="59">
        <f t="shared" si="17"/>
        <v>1.1621195794455073</v>
      </c>
      <c r="T39" s="59">
        <f t="shared" si="17"/>
        <v>1.5945434953346087</v>
      </c>
      <c r="U39" s="59">
        <f t="shared" si="17"/>
        <v>2.0269674112237102</v>
      </c>
      <c r="V39" s="59">
        <f t="shared" si="17"/>
        <v>2.4593913271128116</v>
      </c>
    </row>
    <row r="40" spans="1:37" x14ac:dyDescent="0.2">
      <c r="A40" s="17"/>
      <c r="B40" s="18"/>
      <c r="C40" s="18"/>
      <c r="D40" s="18"/>
      <c r="E40" s="18"/>
      <c r="F40" s="18"/>
      <c r="G40" s="18"/>
      <c r="H40" s="18"/>
      <c r="I40" s="18"/>
      <c r="J40" s="19"/>
      <c r="K40" s="34"/>
      <c r="L40" s="1" t="s">
        <v>52</v>
      </c>
      <c r="M40" s="53">
        <f>M38/M39</f>
        <v>17.618863238413262</v>
      </c>
      <c r="O40" s="41" t="s">
        <v>78</v>
      </c>
      <c r="P40" s="59">
        <f>(P38/P37)^(1/5)-1</f>
        <v>-2.86227225661424E-2</v>
      </c>
      <c r="Q40" s="60">
        <f t="shared" ref="Q40:V40" si="18">(Q38/Q37)^(1/5)-1</f>
        <v>5.3431236559893902E-2</v>
      </c>
      <c r="R40" s="60">
        <f t="shared" si="18"/>
        <v>0.11581948066977077</v>
      </c>
      <c r="S40" s="60">
        <f t="shared" si="18"/>
        <v>0.1667449825401659</v>
      </c>
      <c r="T40" s="60">
        <f t="shared" si="18"/>
        <v>0.21007472853884246</v>
      </c>
      <c r="U40" s="60">
        <f t="shared" si="18"/>
        <v>0.24796253915012589</v>
      </c>
      <c r="V40" s="60">
        <f t="shared" si="18"/>
        <v>0.2817400019190115</v>
      </c>
    </row>
    <row r="41" spans="1:37" x14ac:dyDescent="0.2">
      <c r="A41" s="17"/>
      <c r="B41" s="11"/>
      <c r="C41" s="11"/>
      <c r="D41" s="11"/>
      <c r="E41" s="11"/>
      <c r="F41" s="11"/>
      <c r="G41" s="11"/>
      <c r="H41" s="11"/>
      <c r="I41" s="11"/>
      <c r="J41" s="11"/>
      <c r="K41" s="35"/>
      <c r="L41" s="1" t="s">
        <v>53</v>
      </c>
      <c r="M41" s="35">
        <f>Screen!J3</f>
        <v>18</v>
      </c>
    </row>
    <row r="42" spans="1:37" x14ac:dyDescent="0.2">
      <c r="A42" s="17"/>
      <c r="B42" s="11"/>
      <c r="C42" s="11"/>
      <c r="D42" s="11"/>
      <c r="E42" s="11"/>
      <c r="F42" s="11"/>
      <c r="G42" s="11"/>
      <c r="H42" s="11"/>
      <c r="I42" s="11"/>
      <c r="J42" s="11"/>
      <c r="K42" s="28"/>
      <c r="L42" s="1" t="s">
        <v>54</v>
      </c>
      <c r="M42" s="28">
        <f>M40/M41-1</f>
        <v>-2.1174264532596521E-2</v>
      </c>
    </row>
    <row r="43" spans="1:37" x14ac:dyDescent="0.2">
      <c r="A43" s="17"/>
      <c r="B43" s="11"/>
      <c r="C43" s="11"/>
      <c r="D43" s="11"/>
      <c r="E43" s="11"/>
      <c r="F43" s="11"/>
      <c r="G43" s="11"/>
      <c r="H43" s="11"/>
      <c r="I43" s="11"/>
      <c r="J43" s="11"/>
    </row>
    <row r="44" spans="1:37" x14ac:dyDescent="0.2">
      <c r="A44" s="17"/>
      <c r="B44" s="11"/>
      <c r="C44" s="11"/>
      <c r="D44" s="11"/>
      <c r="E44" s="11"/>
      <c r="F44" s="11"/>
      <c r="G44" s="11"/>
      <c r="H44" s="11"/>
      <c r="I44" s="11"/>
      <c r="J44" s="11"/>
      <c r="K44" s="20"/>
      <c r="L44" s="38" t="s">
        <v>79</v>
      </c>
    </row>
    <row r="45" spans="1:37" x14ac:dyDescent="0.2">
      <c r="A45" s="17"/>
      <c r="B45" s="11"/>
      <c r="C45" s="11"/>
      <c r="D45" s="11"/>
      <c r="E45" s="11"/>
      <c r="F45" s="11"/>
      <c r="G45" s="11"/>
      <c r="H45" s="11"/>
      <c r="I45" s="11"/>
      <c r="J45" s="11"/>
    </row>
    <row r="46" spans="1:37" x14ac:dyDescent="0.2">
      <c r="A46" s="17"/>
      <c r="B46" s="11"/>
      <c r="C46" s="11"/>
      <c r="D46" s="11"/>
      <c r="E46" s="11"/>
      <c r="F46" s="11"/>
      <c r="G46" s="11"/>
      <c r="H46" s="11"/>
      <c r="I46" s="11"/>
      <c r="J46" s="11"/>
      <c r="K46" s="20"/>
      <c r="L46" s="38" t="s">
        <v>80</v>
      </c>
    </row>
    <row r="47" spans="1:37" x14ac:dyDescent="0.2">
      <c r="A47" s="17"/>
      <c r="B47" s="11"/>
      <c r="C47" s="11"/>
      <c r="D47" s="11"/>
      <c r="E47" s="11"/>
      <c r="F47" s="11"/>
      <c r="G47" s="11"/>
      <c r="H47" s="11"/>
      <c r="I47" s="11"/>
      <c r="J47" s="11"/>
    </row>
    <row r="48" spans="1:37" x14ac:dyDescent="0.2">
      <c r="A48" s="17"/>
      <c r="B48" s="11"/>
      <c r="C48" s="11"/>
      <c r="D48" s="11"/>
      <c r="E48" s="11"/>
      <c r="F48" s="11"/>
      <c r="G48" s="11"/>
      <c r="H48" s="11"/>
      <c r="I48" s="11"/>
      <c r="J48" s="11"/>
    </row>
    <row r="49" spans="1:10" x14ac:dyDescent="0.2">
      <c r="A49" s="17"/>
      <c r="B49" s="11"/>
      <c r="C49" s="11"/>
      <c r="D49" s="11"/>
      <c r="E49" s="11"/>
      <c r="F49" s="11"/>
      <c r="G49" s="11"/>
      <c r="H49" s="11"/>
      <c r="I49" s="11"/>
      <c r="J49" s="11"/>
    </row>
    <row r="50" spans="1:10" x14ac:dyDescent="0.2">
      <c r="A50" s="17"/>
      <c r="B50" s="11"/>
      <c r="C50" s="11"/>
      <c r="D50" s="11"/>
      <c r="E50" s="11"/>
      <c r="F50" s="11"/>
      <c r="G50" s="11"/>
      <c r="H50" s="11"/>
      <c r="I50" s="11"/>
      <c r="J50" s="11"/>
    </row>
    <row r="51" spans="1:10" x14ac:dyDescent="0.2">
      <c r="A51" s="17"/>
      <c r="B51" s="11"/>
      <c r="C51" s="11"/>
      <c r="D51" s="11"/>
      <c r="E51" s="11"/>
      <c r="F51" s="11"/>
      <c r="G51" s="11"/>
      <c r="H51" s="11"/>
      <c r="I51" s="11"/>
      <c r="J51" s="11"/>
    </row>
    <row r="52" spans="1:10" x14ac:dyDescent="0.2">
      <c r="A52" s="17"/>
      <c r="B52" s="11"/>
      <c r="C52" s="11"/>
      <c r="D52" s="11"/>
      <c r="E52" s="11"/>
      <c r="F52" s="11"/>
      <c r="G52" s="11"/>
      <c r="H52" s="11"/>
      <c r="I52" s="11"/>
      <c r="J52" s="11"/>
    </row>
    <row r="53" spans="1:10" x14ac:dyDescent="0.2">
      <c r="A53" s="17"/>
      <c r="B53" s="11"/>
      <c r="C53" s="11"/>
      <c r="D53" s="11"/>
      <c r="E53" s="11"/>
      <c r="F53" s="11"/>
      <c r="G53" s="11"/>
      <c r="H53" s="11"/>
      <c r="I53" s="11"/>
      <c r="J53" s="11"/>
    </row>
    <row r="54" spans="1:10" x14ac:dyDescent="0.2">
      <c r="A54" s="17"/>
      <c r="B54" s="11"/>
      <c r="C54" s="11"/>
      <c r="D54" s="11"/>
      <c r="E54" s="11"/>
      <c r="F54" s="11"/>
      <c r="G54" s="11"/>
      <c r="H54" s="11"/>
      <c r="I54" s="11"/>
      <c r="J54" s="11"/>
    </row>
    <row r="55" spans="1:10" x14ac:dyDescent="0.2">
      <c r="A55" s="17"/>
      <c r="B55" s="11"/>
      <c r="C55" s="11"/>
      <c r="D55" s="11"/>
      <c r="E55" s="11"/>
      <c r="F55" s="11"/>
      <c r="G55" s="11"/>
      <c r="H55" s="11"/>
      <c r="I55" s="11"/>
      <c r="J55" s="11"/>
    </row>
    <row r="56" spans="1:10" x14ac:dyDescent="0.2">
      <c r="A56" s="17"/>
      <c r="B56" s="11"/>
      <c r="C56" s="11"/>
      <c r="D56" s="11"/>
      <c r="E56" s="11"/>
      <c r="F56" s="11"/>
      <c r="G56" s="11"/>
      <c r="H56" s="11"/>
      <c r="I56" s="11"/>
      <c r="J56" s="11"/>
    </row>
    <row r="57" spans="1:10" x14ac:dyDescent="0.2">
      <c r="A57" s="17"/>
      <c r="B57" s="11"/>
      <c r="C57" s="11"/>
      <c r="D57" s="11"/>
      <c r="E57" s="11"/>
      <c r="F57" s="11"/>
      <c r="G57" s="11"/>
      <c r="H57" s="11"/>
      <c r="I57" s="11"/>
      <c r="J57" s="11"/>
    </row>
    <row r="58" spans="1:10" x14ac:dyDescent="0.2">
      <c r="A58" s="17"/>
      <c r="B58" s="11"/>
      <c r="C58" s="11"/>
      <c r="D58" s="11"/>
      <c r="E58" s="11"/>
      <c r="F58" s="11"/>
      <c r="G58" s="11"/>
      <c r="H58" s="11"/>
      <c r="I58" s="11"/>
      <c r="J58" s="11"/>
    </row>
    <row r="59" spans="1:10" x14ac:dyDescent="0.2">
      <c r="A59" s="17"/>
      <c r="B59" s="11"/>
      <c r="C59" s="11"/>
      <c r="D59" s="11"/>
      <c r="E59" s="11"/>
      <c r="F59" s="11"/>
      <c r="G59" s="11"/>
      <c r="H59" s="11"/>
      <c r="I59" s="11"/>
      <c r="J59" s="11"/>
    </row>
    <row r="60" spans="1:10" x14ac:dyDescent="0.2">
      <c r="A60" s="17"/>
      <c r="B60" s="11"/>
      <c r="C60" s="11"/>
      <c r="D60" s="11"/>
      <c r="E60" s="11"/>
      <c r="F60" s="11"/>
      <c r="G60" s="11"/>
      <c r="H60" s="11"/>
      <c r="I60" s="11"/>
      <c r="J60" s="11"/>
    </row>
    <row r="61" spans="1:10" x14ac:dyDescent="0.2">
      <c r="A61" s="17"/>
      <c r="B61" s="11"/>
      <c r="C61" s="11"/>
      <c r="D61" s="11"/>
      <c r="E61" s="11"/>
      <c r="F61" s="11"/>
      <c r="G61" s="11"/>
      <c r="H61" s="11"/>
      <c r="I61" s="11"/>
      <c r="J61" s="11"/>
    </row>
    <row r="62" spans="1:10" x14ac:dyDescent="0.2">
      <c r="A62" s="17"/>
      <c r="B62" s="13"/>
      <c r="C62" s="13"/>
      <c r="D62" s="13"/>
      <c r="E62" s="13"/>
      <c r="F62" s="13"/>
      <c r="G62" s="13"/>
      <c r="H62" s="21"/>
      <c r="I62" s="21"/>
      <c r="J62" s="21"/>
    </row>
    <row r="63" spans="1:10" x14ac:dyDescent="0.2">
      <c r="A63" s="17"/>
      <c r="B63" s="17"/>
      <c r="C63" s="17"/>
      <c r="D63" s="17"/>
      <c r="E63" s="13"/>
      <c r="F63" s="13"/>
      <c r="G63" s="13"/>
      <c r="H63" s="13"/>
      <c r="I63" s="13"/>
      <c r="J63" s="17"/>
    </row>
    <row r="64" spans="1:10" x14ac:dyDescent="0.2">
      <c r="A64" s="17"/>
      <c r="B64" s="17"/>
      <c r="C64" s="17"/>
      <c r="D64" s="17"/>
      <c r="E64" s="17"/>
      <c r="F64" s="17"/>
      <c r="G64" s="17"/>
      <c r="H64" s="17"/>
      <c r="I64" s="17"/>
      <c r="J64" s="17"/>
    </row>
    <row r="65" spans="1:10" x14ac:dyDescent="0.2">
      <c r="A65" s="17"/>
      <c r="B65" s="17"/>
      <c r="C65" s="17"/>
      <c r="D65" s="17"/>
      <c r="E65" s="17"/>
      <c r="F65" s="17"/>
      <c r="G65" s="17"/>
      <c r="H65" s="17"/>
      <c r="I65" s="17"/>
      <c r="J65" s="17"/>
    </row>
    <row r="66" spans="1:10" x14ac:dyDescent="0.2">
      <c r="A66" s="17"/>
      <c r="B66" s="14"/>
      <c r="C66" s="14"/>
      <c r="D66" s="14"/>
      <c r="E66" s="14"/>
      <c r="F66" s="14"/>
      <c r="G66" s="14"/>
      <c r="H66" s="14"/>
      <c r="I66" s="14"/>
      <c r="J66" s="14"/>
    </row>
    <row r="67" spans="1:10" x14ac:dyDescent="0.2">
      <c r="A67" s="17"/>
      <c r="B67" s="14"/>
      <c r="C67" s="14"/>
      <c r="D67" s="14"/>
      <c r="E67" s="14"/>
      <c r="F67" s="14"/>
      <c r="G67" s="14"/>
      <c r="H67" s="14"/>
      <c r="I67" s="14"/>
      <c r="J67" s="14"/>
    </row>
    <row r="68" spans="1:10" x14ac:dyDescent="0.2">
      <c r="A68" s="17"/>
      <c r="B68" s="14"/>
      <c r="C68" s="14"/>
      <c r="D68" s="14"/>
      <c r="E68" s="14"/>
      <c r="F68" s="14"/>
      <c r="G68" s="14"/>
      <c r="H68" s="14"/>
      <c r="I68" s="14"/>
      <c r="J68" s="14"/>
    </row>
    <row r="69" spans="1:10" x14ac:dyDescent="0.2">
      <c r="A69" s="17"/>
      <c r="B69" s="14"/>
      <c r="C69" s="14"/>
      <c r="D69" s="14"/>
      <c r="E69" s="14"/>
      <c r="F69" s="14"/>
      <c r="G69" s="14"/>
      <c r="H69" s="14"/>
      <c r="I69" s="14"/>
      <c r="J69" s="14"/>
    </row>
    <row r="70" spans="1:10" x14ac:dyDescent="0.2">
      <c r="J70" s="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Screen</vt:lpstr>
      <vt:lpstr>Metrics</vt:lpstr>
      <vt:lpstr>Funding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Francisco Morais</cp:lastModifiedBy>
  <dcterms:modified xsi:type="dcterms:W3CDTF">2026-06-16T22:38:18Z</dcterms:modified>
</cp:coreProperties>
</file>