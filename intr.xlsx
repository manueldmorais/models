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ocks\"/>
    </mc:Choice>
  </mc:AlternateContent>
  <xr:revisionPtr revIDLastSave="0" documentId="13_ncr:1_{CE00063B-42FB-4D1E-8BF4-8649BC0E1AC6}" xr6:coauthVersionLast="47" xr6:coauthVersionMax="47" xr10:uidLastSave="{00000000-0000-0000-0000-000000000000}"/>
  <bookViews>
    <workbookView xWindow="-120" yWindow="-120" windowWidth="29040" windowHeight="15840" xr2:uid="{E260597B-EFDF-4E3D-BFA7-B19F2A4998A1}"/>
  </bookViews>
  <sheets>
    <sheet name="main" sheetId="1" r:id="rId1"/>
    <sheet name="model" sheetId="2" r:id="rId2"/>
    <sheet name="bal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3" l="1"/>
  <c r="F1" i="3" s="1"/>
  <c r="G1" i="3" s="1"/>
  <c r="O31" i="2"/>
  <c r="D23" i="2"/>
  <c r="E23" i="2"/>
  <c r="E13" i="2"/>
  <c r="H27" i="2"/>
  <c r="F23" i="2"/>
  <c r="F20" i="2"/>
  <c r="F21" i="2" s="1"/>
  <c r="H34" i="3"/>
  <c r="J7" i="1"/>
  <c r="J9" i="1" s="1"/>
  <c r="F32" i="3"/>
  <c r="E32" i="3"/>
  <c r="D32" i="3"/>
  <c r="F26" i="3"/>
  <c r="E26" i="3"/>
  <c r="D26" i="3"/>
  <c r="F15" i="3"/>
  <c r="F35" i="3" s="1"/>
  <c r="E15" i="3"/>
  <c r="E35" i="3" s="1"/>
  <c r="D15" i="3"/>
  <c r="D35" i="3" s="1"/>
  <c r="G32" i="3"/>
  <c r="G26" i="3"/>
  <c r="G15" i="3"/>
  <c r="G35" i="3" s="1"/>
  <c r="K27" i="2"/>
  <c r="L37" i="2"/>
  <c r="K24" i="2"/>
  <c r="I26" i="2"/>
  <c r="I27" i="2" s="1"/>
  <c r="H26" i="2"/>
  <c r="G26" i="2"/>
  <c r="F26" i="2"/>
  <c r="J26" i="2"/>
  <c r="J27" i="2" s="1"/>
  <c r="I25" i="2"/>
  <c r="H25" i="2"/>
  <c r="G25" i="2"/>
  <c r="F25" i="2"/>
  <c r="J25" i="2"/>
  <c r="H23" i="2"/>
  <c r="I12" i="2"/>
  <c r="I20" i="2" s="1"/>
  <c r="I21" i="2" s="1"/>
  <c r="H12" i="2"/>
  <c r="G12" i="2"/>
  <c r="F12" i="2"/>
  <c r="F13" i="2" s="1"/>
  <c r="I10" i="2"/>
  <c r="H10" i="2"/>
  <c r="G10" i="2"/>
  <c r="F10" i="2"/>
  <c r="I5" i="2"/>
  <c r="H5" i="2"/>
  <c r="G5" i="2"/>
  <c r="F5" i="2"/>
  <c r="I7" i="2"/>
  <c r="H7" i="2"/>
  <c r="G7" i="2"/>
  <c r="F7" i="2"/>
  <c r="J12" i="2"/>
  <c r="J20" i="2" s="1"/>
  <c r="J21" i="2" s="1"/>
  <c r="J10" i="2"/>
  <c r="J7" i="2"/>
  <c r="J5" i="2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F28" i="3" l="1"/>
  <c r="F31" i="3" s="1"/>
  <c r="G28" i="3"/>
  <c r="H29" i="3" s="1"/>
  <c r="F27" i="2"/>
  <c r="G27" i="2"/>
  <c r="G13" i="2"/>
  <c r="G20" i="2"/>
  <c r="G21" i="2" s="1"/>
  <c r="G23" i="2"/>
  <c r="H13" i="2"/>
  <c r="D28" i="3"/>
  <c r="E28" i="3"/>
  <c r="L35" i="2"/>
  <c r="J10" i="1"/>
  <c r="J11" i="1"/>
  <c r="P31" i="2"/>
  <c r="J12" i="1"/>
  <c r="J23" i="2"/>
  <c r="I23" i="2"/>
  <c r="K12" i="2"/>
  <c r="H20" i="2"/>
  <c r="H21" i="2" s="1"/>
  <c r="L24" i="2"/>
  <c r="M24" i="2" s="1"/>
  <c r="N24" i="2"/>
  <c r="I13" i="2"/>
  <c r="J13" i="2"/>
  <c r="F34" i="3" l="1"/>
  <c r="G34" i="3"/>
  <c r="G31" i="3"/>
  <c r="G29" i="3"/>
  <c r="E34" i="3"/>
  <c r="F29" i="3"/>
  <c r="D34" i="3"/>
  <c r="D31" i="3"/>
  <c r="E29" i="3"/>
  <c r="E31" i="3"/>
  <c r="Q31" i="2"/>
  <c r="K22" i="2"/>
  <c r="L12" i="2"/>
  <c r="O24" i="2"/>
  <c r="M12" i="2" l="1"/>
  <c r="L22" i="2"/>
  <c r="L26" i="2" s="1"/>
  <c r="L27" i="2" s="1"/>
  <c r="P24" i="2"/>
  <c r="Q24" i="2" s="1"/>
  <c r="R24" i="2" s="1"/>
  <c r="S24" i="2" s="1"/>
  <c r="T24" i="2" s="1"/>
  <c r="K26" i="2"/>
  <c r="N12" i="2" l="1"/>
  <c r="M22" i="2"/>
  <c r="M26" i="2" l="1"/>
  <c r="M27" i="2" s="1"/>
  <c r="O12" i="2"/>
  <c r="N22" i="2"/>
  <c r="N26" i="2" s="1"/>
  <c r="N27" i="2" l="1"/>
  <c r="P12" i="2"/>
  <c r="O22" i="2"/>
  <c r="O26" i="2" s="1"/>
  <c r="O27" i="2" l="1"/>
  <c r="Q32" i="2"/>
  <c r="P32" i="2"/>
  <c r="O32" i="2"/>
  <c r="Q12" i="2"/>
  <c r="P22" i="2"/>
  <c r="Q33" i="2" l="1"/>
  <c r="Q34" i="2"/>
  <c r="O33" i="2"/>
  <c r="O34" i="2"/>
  <c r="P33" i="2"/>
  <c r="P34" i="2"/>
  <c r="P26" i="2"/>
  <c r="P27" i="2" s="1"/>
  <c r="R12" i="2"/>
  <c r="Q22" i="2"/>
  <c r="Q26" i="2" s="1"/>
  <c r="Q27" i="2" l="1"/>
  <c r="S12" i="2"/>
  <c r="R22" i="2"/>
  <c r="R26" i="2" l="1"/>
  <c r="R27" i="2" s="1"/>
  <c r="T12" i="2"/>
  <c r="T22" i="2" s="1"/>
  <c r="S22" i="2"/>
  <c r="S26" i="2" s="1"/>
  <c r="S27" i="2" l="1"/>
  <c r="T26" i="2"/>
  <c r="T27" i="2" s="1"/>
  <c r="U22" i="2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L32" i="2" s="1"/>
  <c r="L34" i="2" s="1"/>
  <c r="L36" i="2" l="1"/>
  <c r="L38" i="2"/>
</calcChain>
</file>

<file path=xl/sharedStrings.xml><?xml version="1.0" encoding="utf-8"?>
<sst xmlns="http://schemas.openxmlformats.org/spreadsheetml/2006/main" count="106" uniqueCount="91">
  <si>
    <t>Name</t>
  </si>
  <si>
    <t>INTR</t>
  </si>
  <si>
    <t>Price</t>
  </si>
  <si>
    <t>Shares</t>
  </si>
  <si>
    <t>MC</t>
  </si>
  <si>
    <t>Cash</t>
  </si>
  <si>
    <t>Interest Income</t>
  </si>
  <si>
    <t>Interest Expenses</t>
  </si>
  <si>
    <t>% margin</t>
  </si>
  <si>
    <t>Income from securities / derv.</t>
  </si>
  <si>
    <t>Net Interest Income</t>
  </si>
  <si>
    <t>Services and commissions</t>
  </si>
  <si>
    <t>Services expense</t>
  </si>
  <si>
    <t>Other</t>
  </si>
  <si>
    <t>Impairment</t>
  </si>
  <si>
    <t>Total Revenue</t>
  </si>
  <si>
    <t>Admin</t>
  </si>
  <si>
    <t>Personnel</t>
  </si>
  <si>
    <t>Tax</t>
  </si>
  <si>
    <t>D&amp;A</t>
  </si>
  <si>
    <t>Equity interests</t>
  </si>
  <si>
    <t>Profit before tax</t>
  </si>
  <si>
    <t>Net Income</t>
  </si>
  <si>
    <t>% net</t>
  </si>
  <si>
    <t>% change</t>
  </si>
  <si>
    <t>EPS</t>
  </si>
  <si>
    <t>% growth</t>
  </si>
  <si>
    <t>Taxes &amp; adj.</t>
  </si>
  <si>
    <t>DCF</t>
  </si>
  <si>
    <t>Maturity</t>
  </si>
  <si>
    <t>Discount</t>
  </si>
  <si>
    <t>NPV</t>
  </si>
  <si>
    <t>Upside</t>
  </si>
  <si>
    <t>FV</t>
  </si>
  <si>
    <t>usd/brl</t>
  </si>
  <si>
    <t>NPV (usd)</t>
  </si>
  <si>
    <t>AR</t>
  </si>
  <si>
    <t>Central Bank</t>
  </si>
  <si>
    <t>Securities</t>
  </si>
  <si>
    <t>Derivatives</t>
  </si>
  <si>
    <t>Loans</t>
  </si>
  <si>
    <t>Held for sale</t>
  </si>
  <si>
    <t>Equity investments</t>
  </si>
  <si>
    <t>PP&amp;E</t>
  </si>
  <si>
    <t>Intangible</t>
  </si>
  <si>
    <t>Deffered taxes</t>
  </si>
  <si>
    <t>Total Assets</t>
  </si>
  <si>
    <t>Deposits - customers</t>
  </si>
  <si>
    <t>Deposits - banks</t>
  </si>
  <si>
    <t>Borrowings</t>
  </si>
  <si>
    <t>Provisions</t>
  </si>
  <si>
    <t>Deffered tax</t>
  </si>
  <si>
    <t>Total Liabilities</t>
  </si>
  <si>
    <t>Equity</t>
  </si>
  <si>
    <t>Debt/eq</t>
  </si>
  <si>
    <t>L/D</t>
  </si>
  <si>
    <t>ROE</t>
  </si>
  <si>
    <t>P/S</t>
  </si>
  <si>
    <t>P/B</t>
  </si>
  <si>
    <t>P/E</t>
  </si>
  <si>
    <t>P/EBT</t>
  </si>
  <si>
    <t>Notes:</t>
  </si>
  <si>
    <t>Pretty good returns on capital due to the neobank structure</t>
  </si>
  <si>
    <t>Trading as a normal bank vs a neobank (why?)</t>
  </si>
  <si>
    <t>Multiples</t>
  </si>
  <si>
    <t>2030 P</t>
  </si>
  <si>
    <t>p.a</t>
  </si>
  <si>
    <t>ROA</t>
  </si>
  <si>
    <t>Seems very undervalued for a seemly high growth bank that looks like fairly conservative compared to peers</t>
  </si>
  <si>
    <t>Segments:</t>
  </si>
  <si>
    <t>Banking and Lending:</t>
  </si>
  <si>
    <t>Checking accounts</t>
  </si>
  <si>
    <t>Loans (private payroll, real estate, business)</t>
  </si>
  <si>
    <t>Credit cards</t>
  </si>
  <si>
    <t>International USD/BRL accounts</t>
  </si>
  <si>
    <t>Investments</t>
  </si>
  <si>
    <t>Self-directed brokerage (stocks, ETF’s, bonds, crypto)</t>
  </si>
  <si>
    <t>Insurance</t>
  </si>
  <si>
    <t>Life, auto, property, travel and health</t>
  </si>
  <si>
    <t>Inter Shop</t>
  </si>
  <si>
    <t>Founded:</t>
  </si>
  <si>
    <t>CEO:</t>
  </si>
  <si>
    <t>Country:</t>
  </si>
  <si>
    <t>In-app marketplace for retail goods, travel, and digital services</t>
  </si>
  <si>
    <t>Cashback and BNPL</t>
  </si>
  <si>
    <t>Brazil</t>
  </si>
  <si>
    <t>João Vitor Menin (2014)</t>
  </si>
  <si>
    <t xml:space="preserve">This company is growing at 30%, increasing ROE and keeping a fairly good loan book </t>
  </si>
  <si>
    <t xml:space="preserve">It's trading at a +10% earnings yield and around book value </t>
  </si>
  <si>
    <t>In my opinion it is undervalued and has a margin of safety</t>
  </si>
  <si>
    <t>q2/26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</si>
</sst>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6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  <xf numFmtId="9" fontId="0" fillId="0" borderId="0" xfId="1" applyFont="1"/>
    <xf numFmtId="164" fontId="0" fillId="0" borderId="0" xfId="1" applyNumberFormat="1" applyFont="1"/>
    <xf numFmtId="165" fontId="0" fillId="0" borderId="0" xfId="0" applyNumberFormat="1"/>
    <xf numFmtId="2" fontId="0" fillId="0" borderId="0" xfId="0" applyNumberFormat="1"/>
    <xf numFmtId="9" fontId="0" fillId="0" borderId="0" xfId="0" applyNumberFormat="1"/>
    <xf numFmtId="1" fontId="0" fillId="0" borderId="0" xfId="0" applyNumberFormat="1"/>
    <xf numFmtId="10" fontId="0" fillId="0" borderId="0" xfId="1" applyNumberFormat="1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4B41-4614-4A2A-90E2-0D13A6A01681}">
  <dimension ref="B3:M21"/>
  <sheetViews>
    <sheetView tabSelected="1" zoomScale="130" zoomScaleNormal="130" workbookViewId="0">
      <selection activeCell="J9" sqref="J9"/>
    </sheetView>
  </sheetViews>
  <sheetFormatPr defaultRowHeight="14.25" x14ac:dyDescent="0.2"/>
  <cols>
    <col min="10" max="10" width="10.875" bestFit="1" customWidth="1"/>
    <col min="13" max="13" width="9" customWidth="1"/>
  </cols>
  <sheetData>
    <row r="3" spans="2:13" ht="15" x14ac:dyDescent="0.25">
      <c r="B3" s="2" t="s">
        <v>69</v>
      </c>
    </row>
    <row r="4" spans="2:13" x14ac:dyDescent="0.2">
      <c r="I4" t="s">
        <v>0</v>
      </c>
      <c r="J4" s="1" t="s">
        <v>1</v>
      </c>
      <c r="L4" t="s">
        <v>80</v>
      </c>
      <c r="M4">
        <v>1994</v>
      </c>
    </row>
    <row r="5" spans="2:13" ht="15" x14ac:dyDescent="0.25">
      <c r="B5" s="2" t="s">
        <v>70</v>
      </c>
      <c r="I5" t="s">
        <v>2</v>
      </c>
      <c r="J5">
        <v>5.54</v>
      </c>
      <c r="L5" t="s">
        <v>81</v>
      </c>
      <c r="M5" s="13" t="s">
        <v>86</v>
      </c>
    </row>
    <row r="6" spans="2:13" x14ac:dyDescent="0.2">
      <c r="B6" s="12" t="s">
        <v>71</v>
      </c>
      <c r="I6" t="s">
        <v>3</v>
      </c>
      <c r="J6">
        <v>441462602</v>
      </c>
      <c r="L6" t="s">
        <v>82</v>
      </c>
      <c r="M6" s="1" t="s">
        <v>85</v>
      </c>
    </row>
    <row r="7" spans="2:13" x14ac:dyDescent="0.2">
      <c r="B7" s="12" t="s">
        <v>74</v>
      </c>
      <c r="I7" t="s">
        <v>4</v>
      </c>
      <c r="J7" s="9">
        <f>J5*J6/1000*model!L33</f>
        <v>12570912.4695112</v>
      </c>
    </row>
    <row r="8" spans="2:13" x14ac:dyDescent="0.2">
      <c r="B8" s="12" t="s">
        <v>73</v>
      </c>
    </row>
    <row r="9" spans="2:13" x14ac:dyDescent="0.2">
      <c r="B9" s="12" t="s">
        <v>72</v>
      </c>
      <c r="I9" t="s">
        <v>57</v>
      </c>
      <c r="J9" s="7">
        <f>J7/model!J12</f>
        <v>1.4963701040897099</v>
      </c>
    </row>
    <row r="10" spans="2:13" ht="15" x14ac:dyDescent="0.25">
      <c r="B10" s="2" t="s">
        <v>75</v>
      </c>
      <c r="I10" t="s">
        <v>58</v>
      </c>
      <c r="J10" s="7">
        <f>J7/balance!H28</f>
        <v>1.1821923844604803</v>
      </c>
    </row>
    <row r="11" spans="2:13" x14ac:dyDescent="0.2">
      <c r="B11" s="12" t="s">
        <v>76</v>
      </c>
      <c r="I11" t="s">
        <v>59</v>
      </c>
      <c r="J11" s="7">
        <f>J7/model!J22</f>
        <v>8.9964385202191899</v>
      </c>
    </row>
    <row r="12" spans="2:13" ht="15" x14ac:dyDescent="0.25">
      <c r="B12" s="11" t="s">
        <v>77</v>
      </c>
      <c r="I12" t="s">
        <v>60</v>
      </c>
      <c r="J12" s="7">
        <f>J7/model!J20</f>
        <v>7.7398184257792977</v>
      </c>
    </row>
    <row r="13" spans="2:13" x14ac:dyDescent="0.2">
      <c r="B13" s="12" t="s">
        <v>78</v>
      </c>
    </row>
    <row r="14" spans="2:13" ht="15" x14ac:dyDescent="0.25">
      <c r="B14" s="11" t="s">
        <v>79</v>
      </c>
    </row>
    <row r="15" spans="2:13" x14ac:dyDescent="0.2">
      <c r="B15" s="12" t="s">
        <v>83</v>
      </c>
      <c r="J15" s="4"/>
    </row>
    <row r="16" spans="2:13" x14ac:dyDescent="0.2">
      <c r="B16" s="3" t="s">
        <v>84</v>
      </c>
    </row>
    <row r="18" spans="2:2" x14ac:dyDescent="0.2">
      <c r="B18" t="s">
        <v>61</v>
      </c>
    </row>
    <row r="19" spans="2:2" x14ac:dyDescent="0.2">
      <c r="B19" t="s">
        <v>87</v>
      </c>
    </row>
    <row r="20" spans="2:2" x14ac:dyDescent="0.2">
      <c r="B20" t="s">
        <v>88</v>
      </c>
    </row>
    <row r="21" spans="2:2" x14ac:dyDescent="0.2">
      <c r="B2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BF7E-5403-4D82-B460-47BD82D2048D}">
  <dimension ref="A1:AE43"/>
  <sheetViews>
    <sheetView zoomScale="130" zoomScaleNormal="130" workbookViewId="0">
      <pane ySplit="1" topLeftCell="A13" activePane="bottomLeft" state="frozen"/>
      <selection activeCell="C1" sqref="C1"/>
      <selection pane="bottomLeft" activeCell="N11" sqref="N11"/>
    </sheetView>
  </sheetViews>
  <sheetFormatPr defaultRowHeight="14.25" x14ac:dyDescent="0.2"/>
  <cols>
    <col min="1" max="1" width="10.25" customWidth="1"/>
    <col min="6" max="7" width="9.875" customWidth="1"/>
    <col min="8" max="10" width="9.875" bestFit="1" customWidth="1"/>
    <col min="11" max="11" width="9.875" customWidth="1"/>
    <col min="12" max="13" width="10" customWidth="1"/>
    <col min="14" max="14" width="9.75" customWidth="1"/>
    <col min="15" max="15" width="9.875" customWidth="1"/>
    <col min="16" max="20" width="10" customWidth="1"/>
  </cols>
  <sheetData>
    <row r="1" spans="1:31" x14ac:dyDescent="0.2">
      <c r="D1">
        <v>2019</v>
      </c>
      <c r="E1">
        <f>D1+1</f>
        <v>2020</v>
      </c>
      <c r="F1">
        <f>E1+1</f>
        <v>2021</v>
      </c>
      <c r="G1">
        <f t="shared" ref="G1:AE1" si="0">F1+1</f>
        <v>2022</v>
      </c>
      <c r="H1">
        <f t="shared" si="0"/>
        <v>2023</v>
      </c>
      <c r="I1">
        <f t="shared" si="0"/>
        <v>2024</v>
      </c>
      <c r="J1">
        <f t="shared" si="0"/>
        <v>2025</v>
      </c>
      <c r="K1">
        <f t="shared" si="0"/>
        <v>2026</v>
      </c>
      <c r="L1">
        <f t="shared" si="0"/>
        <v>2027</v>
      </c>
      <c r="M1">
        <f t="shared" si="0"/>
        <v>2028</v>
      </c>
      <c r="N1">
        <f t="shared" si="0"/>
        <v>2029</v>
      </c>
      <c r="O1">
        <f t="shared" si="0"/>
        <v>2030</v>
      </c>
      <c r="P1">
        <f t="shared" si="0"/>
        <v>2031</v>
      </c>
      <c r="Q1">
        <f t="shared" si="0"/>
        <v>2032</v>
      </c>
      <c r="R1">
        <f t="shared" si="0"/>
        <v>2033</v>
      </c>
      <c r="S1">
        <f t="shared" si="0"/>
        <v>2034</v>
      </c>
      <c r="T1">
        <f t="shared" si="0"/>
        <v>2035</v>
      </c>
      <c r="U1">
        <f t="shared" si="0"/>
        <v>2036</v>
      </c>
      <c r="V1">
        <f t="shared" si="0"/>
        <v>2037</v>
      </c>
      <c r="W1">
        <f t="shared" si="0"/>
        <v>2038</v>
      </c>
      <c r="X1">
        <f t="shared" si="0"/>
        <v>2039</v>
      </c>
      <c r="Y1">
        <f t="shared" si="0"/>
        <v>2040</v>
      </c>
      <c r="Z1">
        <f t="shared" si="0"/>
        <v>2041</v>
      </c>
      <c r="AA1">
        <f t="shared" si="0"/>
        <v>2042</v>
      </c>
      <c r="AB1">
        <f t="shared" si="0"/>
        <v>2043</v>
      </c>
      <c r="AC1">
        <f t="shared" si="0"/>
        <v>2044</v>
      </c>
      <c r="AD1">
        <f t="shared" si="0"/>
        <v>2045</v>
      </c>
      <c r="AE1">
        <f t="shared" si="0"/>
        <v>2046</v>
      </c>
    </row>
    <row r="3" spans="1:31" x14ac:dyDescent="0.2">
      <c r="A3" t="s">
        <v>6</v>
      </c>
      <c r="F3">
        <v>1435428</v>
      </c>
      <c r="G3">
        <v>2802658</v>
      </c>
      <c r="H3">
        <v>4549827</v>
      </c>
      <c r="I3">
        <v>5139213</v>
      </c>
      <c r="J3">
        <v>8638477</v>
      </c>
    </row>
    <row r="4" spans="1:31" x14ac:dyDescent="0.2">
      <c r="A4" t="s">
        <v>7</v>
      </c>
      <c r="F4">
        <v>-543242</v>
      </c>
      <c r="G4">
        <v>-1972850</v>
      </c>
      <c r="H4">
        <v>-2887573</v>
      </c>
      <c r="I4">
        <v>-3311638</v>
      </c>
      <c r="J4">
        <v>-5977127</v>
      </c>
    </row>
    <row r="5" spans="1:31" x14ac:dyDescent="0.2">
      <c r="A5" s="3" t="s">
        <v>8</v>
      </c>
      <c r="D5" s="5"/>
      <c r="E5" s="5"/>
      <c r="F5" s="5">
        <f t="shared" ref="F5:I5" si="1">(F3+F4)/F3</f>
        <v>0.62154702290884667</v>
      </c>
      <c r="G5" s="5">
        <f t="shared" si="1"/>
        <v>0.29607893649528411</v>
      </c>
      <c r="H5" s="5">
        <f t="shared" si="1"/>
        <v>0.36534444056883919</v>
      </c>
      <c r="I5" s="5">
        <f t="shared" si="1"/>
        <v>0.35561378755852308</v>
      </c>
      <c r="J5" s="5">
        <f>(J3+J4)/J3</f>
        <v>0.3080809267652157</v>
      </c>
    </row>
    <row r="6" spans="1:31" x14ac:dyDescent="0.2">
      <c r="A6" t="s">
        <v>9</v>
      </c>
      <c r="F6">
        <v>697283</v>
      </c>
      <c r="G6">
        <v>1505621</v>
      </c>
      <c r="H6">
        <v>1634543</v>
      </c>
      <c r="I6">
        <v>2629170</v>
      </c>
      <c r="J6">
        <v>3612469</v>
      </c>
    </row>
    <row r="7" spans="1:31" x14ac:dyDescent="0.2">
      <c r="A7" t="s">
        <v>10</v>
      </c>
      <c r="F7">
        <f t="shared" ref="F7:I7" si="2">F3+F4+F6</f>
        <v>1589469</v>
      </c>
      <c r="G7">
        <f t="shared" si="2"/>
        <v>2335429</v>
      </c>
      <c r="H7">
        <f t="shared" si="2"/>
        <v>3296797</v>
      </c>
      <c r="I7">
        <f t="shared" si="2"/>
        <v>4456745</v>
      </c>
      <c r="J7">
        <f>J3+J4+J6</f>
        <v>6273819</v>
      </c>
    </row>
    <row r="8" spans="1:31" x14ac:dyDescent="0.2">
      <c r="A8" t="s">
        <v>11</v>
      </c>
      <c r="F8">
        <v>542569</v>
      </c>
      <c r="G8">
        <v>968039</v>
      </c>
      <c r="H8">
        <v>1304382</v>
      </c>
      <c r="I8">
        <v>1753280</v>
      </c>
      <c r="J8">
        <v>2008095</v>
      </c>
    </row>
    <row r="9" spans="1:31" x14ac:dyDescent="0.2">
      <c r="A9" t="s">
        <v>12</v>
      </c>
      <c r="F9">
        <v>-100297</v>
      </c>
      <c r="G9">
        <v>-129233</v>
      </c>
      <c r="H9">
        <v>-135582</v>
      </c>
      <c r="I9">
        <v>-143430</v>
      </c>
      <c r="J9">
        <v>-182202</v>
      </c>
    </row>
    <row r="10" spans="1:31" x14ac:dyDescent="0.2">
      <c r="A10" s="3" t="s">
        <v>8</v>
      </c>
      <c r="D10" s="5"/>
      <c r="E10" s="5"/>
      <c r="F10" s="5">
        <f t="shared" ref="F10:I10" si="3">(F8+F9)/F8</f>
        <v>0.81514424893423698</v>
      </c>
      <c r="G10" s="5">
        <f t="shared" si="3"/>
        <v>0.86650021331785188</v>
      </c>
      <c r="H10" s="5">
        <f t="shared" si="3"/>
        <v>0.89605652331908903</v>
      </c>
      <c r="I10" s="5">
        <f t="shared" si="3"/>
        <v>0.91819332907464868</v>
      </c>
      <c r="J10" s="5">
        <f>(J8+J9)/J8</f>
        <v>0.90926624487387298</v>
      </c>
    </row>
    <row r="11" spans="1:31" x14ac:dyDescent="0.2">
      <c r="A11" t="s">
        <v>13</v>
      </c>
      <c r="F11">
        <v>190082</v>
      </c>
      <c r="G11">
        <v>388462</v>
      </c>
      <c r="H11">
        <v>286979</v>
      </c>
      <c r="I11">
        <v>333571</v>
      </c>
      <c r="J11">
        <v>301226</v>
      </c>
      <c r="N11" s="4"/>
    </row>
    <row r="12" spans="1:31" ht="15" x14ac:dyDescent="0.25">
      <c r="A12" s="2" t="s">
        <v>15</v>
      </c>
      <c r="D12" s="2">
        <v>712224</v>
      </c>
      <c r="E12" s="2">
        <v>1011531</v>
      </c>
      <c r="F12" s="2">
        <f t="shared" ref="F12:I12" si="4">F3+F4+F6+F8+F9+F11</f>
        <v>2221823</v>
      </c>
      <c r="G12" s="2">
        <f t="shared" si="4"/>
        <v>3562697</v>
      </c>
      <c r="H12" s="2">
        <f t="shared" si="4"/>
        <v>4752576</v>
      </c>
      <c r="I12" s="2">
        <f t="shared" si="4"/>
        <v>6400166</v>
      </c>
      <c r="J12" s="2">
        <f>J3+J4+J6+J8+J9+J11</f>
        <v>8400938</v>
      </c>
      <c r="K12" s="2">
        <f>J12*(1+K13)</f>
        <v>10921219.4</v>
      </c>
      <c r="L12" s="2">
        <f t="shared" ref="L12:T12" si="5">K12*(1+L13)</f>
        <v>12013341.340000002</v>
      </c>
      <c r="M12" s="2">
        <f t="shared" si="5"/>
        <v>13214675.474000003</v>
      </c>
      <c r="N12" s="2">
        <f t="shared" si="5"/>
        <v>14536143.021400005</v>
      </c>
      <c r="O12" s="2">
        <f t="shared" si="5"/>
        <v>15989757.323540006</v>
      </c>
      <c r="P12" s="2">
        <f t="shared" si="5"/>
        <v>16789245.189717006</v>
      </c>
      <c r="Q12" s="2">
        <f t="shared" si="5"/>
        <v>17628707.449202858</v>
      </c>
      <c r="R12" s="2">
        <f t="shared" si="5"/>
        <v>18510142.821663003</v>
      </c>
      <c r="S12" s="2">
        <f t="shared" si="5"/>
        <v>19435649.962746155</v>
      </c>
      <c r="T12" s="2">
        <f t="shared" si="5"/>
        <v>20407432.460883465</v>
      </c>
    </row>
    <row r="13" spans="1:31" x14ac:dyDescent="0.2">
      <c r="A13" s="3" t="s">
        <v>26</v>
      </c>
      <c r="E13" s="5">
        <f t="shared" ref="E13:I13" si="6">E12/D12-1</f>
        <v>0.42024278878555066</v>
      </c>
      <c r="F13" s="5">
        <f t="shared" si="6"/>
        <v>1.1964952136909299</v>
      </c>
      <c r="G13" s="5">
        <f t="shared" si="6"/>
        <v>0.60350171908383343</v>
      </c>
      <c r="H13" s="5">
        <f t="shared" si="6"/>
        <v>0.33398265415217732</v>
      </c>
      <c r="I13" s="5">
        <f t="shared" si="6"/>
        <v>0.34667304636475049</v>
      </c>
      <c r="J13" s="5">
        <f>J12/I12-1</f>
        <v>0.31261251661285039</v>
      </c>
      <c r="K13" s="8">
        <v>0.3</v>
      </c>
      <c r="L13" s="8">
        <v>0.1</v>
      </c>
      <c r="M13" s="8">
        <v>0.1</v>
      </c>
      <c r="N13" s="8">
        <v>0.1</v>
      </c>
      <c r="O13" s="8">
        <v>0.1</v>
      </c>
      <c r="P13" s="8">
        <v>0.05</v>
      </c>
      <c r="Q13" s="8">
        <v>0.05</v>
      </c>
      <c r="R13" s="8">
        <v>0.05</v>
      </c>
      <c r="S13" s="8">
        <v>0.05</v>
      </c>
      <c r="T13" s="8">
        <v>0.05</v>
      </c>
    </row>
    <row r="14" spans="1:31" x14ac:dyDescent="0.2">
      <c r="A14" t="s">
        <v>14</v>
      </c>
      <c r="F14">
        <v>595581</v>
      </c>
      <c r="G14">
        <v>1083237</v>
      </c>
      <c r="H14">
        <v>1541584</v>
      </c>
      <c r="I14">
        <v>1799452</v>
      </c>
      <c r="J14">
        <v>2416353</v>
      </c>
    </row>
    <row r="15" spans="1:31" x14ac:dyDescent="0.2">
      <c r="A15" t="s">
        <v>16</v>
      </c>
      <c r="F15">
        <v>1164203</v>
      </c>
      <c r="G15">
        <v>1494484</v>
      </c>
      <c r="H15">
        <v>1461348</v>
      </c>
      <c r="I15">
        <v>1769055</v>
      </c>
      <c r="J15">
        <v>2200604</v>
      </c>
    </row>
    <row r="16" spans="1:31" x14ac:dyDescent="0.2">
      <c r="A16" t="s">
        <v>17</v>
      </c>
      <c r="F16">
        <v>443328</v>
      </c>
      <c r="G16">
        <v>733605</v>
      </c>
      <c r="H16">
        <v>790739</v>
      </c>
      <c r="I16">
        <v>937761</v>
      </c>
      <c r="J16">
        <v>1090333</v>
      </c>
    </row>
    <row r="17" spans="1:31" x14ac:dyDescent="0.2">
      <c r="A17" t="s">
        <v>18</v>
      </c>
      <c r="F17">
        <v>146757</v>
      </c>
      <c r="G17">
        <v>248588</v>
      </c>
      <c r="H17">
        <v>326584</v>
      </c>
      <c r="I17">
        <v>477037</v>
      </c>
      <c r="J17">
        <v>728734</v>
      </c>
    </row>
    <row r="18" spans="1:31" x14ac:dyDescent="0.2">
      <c r="A18" t="s">
        <v>19</v>
      </c>
      <c r="F18">
        <v>94251</v>
      </c>
      <c r="G18">
        <v>163972</v>
      </c>
      <c r="H18">
        <v>160440</v>
      </c>
      <c r="I18">
        <v>208829</v>
      </c>
      <c r="J18">
        <v>340727</v>
      </c>
    </row>
    <row r="19" spans="1:31" x14ac:dyDescent="0.2">
      <c r="A19" t="s">
        <v>20</v>
      </c>
      <c r="F19">
        <v>8764</v>
      </c>
      <c r="G19">
        <v>17384</v>
      </c>
      <c r="H19">
        <v>32040</v>
      </c>
      <c r="I19">
        <v>2480</v>
      </c>
      <c r="J19">
        <v>0</v>
      </c>
    </row>
    <row r="20" spans="1:31" x14ac:dyDescent="0.2">
      <c r="A20" t="s">
        <v>21</v>
      </c>
      <c r="F20">
        <f>F12-SUM(F14:F19)</f>
        <v>-231061</v>
      </c>
      <c r="G20">
        <f>G12-SUM(G14:G19)</f>
        <v>-178573</v>
      </c>
      <c r="H20">
        <f>H12-SUM(H14:H19)</f>
        <v>439841</v>
      </c>
      <c r="I20">
        <f>I12-SUM(I14:I19)</f>
        <v>1205552</v>
      </c>
      <c r="J20">
        <f>J12-SUM(J14:J19)</f>
        <v>1624187</v>
      </c>
    </row>
    <row r="21" spans="1:31" x14ac:dyDescent="0.2">
      <c r="A21" t="s">
        <v>27</v>
      </c>
      <c r="F21">
        <f t="shared" ref="F21:H21" si="7">F22-F20</f>
        <v>175993</v>
      </c>
      <c r="G21">
        <f t="shared" si="7"/>
        <v>164494</v>
      </c>
      <c r="H21">
        <f t="shared" si="7"/>
        <v>-87581</v>
      </c>
      <c r="I21">
        <f>I22-I20</f>
        <v>-232711</v>
      </c>
      <c r="J21">
        <f>J22-J20</f>
        <v>-226866</v>
      </c>
    </row>
    <row r="22" spans="1:31" x14ac:dyDescent="0.2">
      <c r="A22" t="s">
        <v>22</v>
      </c>
      <c r="D22">
        <v>30370</v>
      </c>
      <c r="E22">
        <v>30686</v>
      </c>
      <c r="F22">
        <v>-55068</v>
      </c>
      <c r="G22">
        <v>-14079</v>
      </c>
      <c r="H22">
        <v>352260</v>
      </c>
      <c r="I22">
        <v>972841</v>
      </c>
      <c r="J22">
        <v>1397321</v>
      </c>
      <c r="K22" s="9">
        <f>K23*K12</f>
        <v>1638182.91</v>
      </c>
      <c r="L22" s="9">
        <f t="shared" ref="L22:T22" si="8">L23*L12</f>
        <v>1802001.2010000001</v>
      </c>
      <c r="M22" s="9">
        <f t="shared" si="8"/>
        <v>1982201.3211000003</v>
      </c>
      <c r="N22" s="9">
        <f t="shared" si="8"/>
        <v>2180421.4532100004</v>
      </c>
      <c r="O22" s="9">
        <f t="shared" si="8"/>
        <v>2398463.5985310008</v>
      </c>
      <c r="P22" s="9">
        <f t="shared" si="8"/>
        <v>2518386.7784575508</v>
      </c>
      <c r="Q22" s="9">
        <f t="shared" si="8"/>
        <v>2644306.1173804286</v>
      </c>
      <c r="R22" s="9">
        <f t="shared" si="8"/>
        <v>2776521.4232494505</v>
      </c>
      <c r="S22" s="9">
        <f t="shared" si="8"/>
        <v>2915347.494411923</v>
      </c>
      <c r="T22" s="9">
        <f t="shared" si="8"/>
        <v>3061114.8691325197</v>
      </c>
      <c r="U22" s="9">
        <f>T22*(1+$L$30)</f>
        <v>2999892.5717498693</v>
      </c>
      <c r="V22" s="9">
        <f t="shared" ref="V22:AE22" si="9">U22*(1+$L$30)</f>
        <v>2939894.720314872</v>
      </c>
      <c r="W22" s="9">
        <f t="shared" si="9"/>
        <v>2881096.8259085743</v>
      </c>
      <c r="X22" s="9">
        <f t="shared" si="9"/>
        <v>2823474.8893904029</v>
      </c>
      <c r="Y22" s="9">
        <f t="shared" si="9"/>
        <v>2767005.3916025949</v>
      </c>
      <c r="Z22" s="9">
        <f t="shared" si="9"/>
        <v>2711665.2837705431</v>
      </c>
      <c r="AA22" s="9">
        <f t="shared" si="9"/>
        <v>2657431.9780951319</v>
      </c>
      <c r="AB22" s="9">
        <f t="shared" si="9"/>
        <v>2604283.3385332292</v>
      </c>
      <c r="AC22" s="9">
        <f t="shared" si="9"/>
        <v>2552197.6717625647</v>
      </c>
      <c r="AD22" s="9">
        <f t="shared" si="9"/>
        <v>2501153.7183273132</v>
      </c>
      <c r="AE22" s="9">
        <f t="shared" si="9"/>
        <v>2451130.643960767</v>
      </c>
    </row>
    <row r="23" spans="1:31" x14ac:dyDescent="0.2">
      <c r="A23" t="s">
        <v>23</v>
      </c>
      <c r="D23" s="5">
        <f t="shared" ref="D23:J23" si="10">D22/D12</f>
        <v>4.264107921103473E-2</v>
      </c>
      <c r="E23" s="5">
        <f t="shared" si="10"/>
        <v>3.0336193354430066E-2</v>
      </c>
      <c r="F23" s="5">
        <f t="shared" si="10"/>
        <v>-2.4785052634705824E-2</v>
      </c>
      <c r="G23" s="5">
        <f t="shared" si="10"/>
        <v>-3.9517814734174699E-3</v>
      </c>
      <c r="H23" s="5">
        <f t="shared" si="10"/>
        <v>7.4119803660162409E-2</v>
      </c>
      <c r="I23" s="5">
        <f t="shared" si="10"/>
        <v>0.15200246368609815</v>
      </c>
      <c r="J23" s="5">
        <f t="shared" si="10"/>
        <v>0.16632916467184974</v>
      </c>
      <c r="K23" s="8">
        <v>0.15</v>
      </c>
      <c r="L23" s="8">
        <v>0.15</v>
      </c>
      <c r="M23" s="8">
        <v>0.15</v>
      </c>
      <c r="N23" s="8">
        <v>0.15</v>
      </c>
      <c r="O23" s="8">
        <v>0.15</v>
      </c>
      <c r="P23" s="8">
        <v>0.15</v>
      </c>
      <c r="Q23" s="8">
        <v>0.15</v>
      </c>
      <c r="R23" s="8">
        <v>0.15</v>
      </c>
      <c r="S23" s="8">
        <v>0.15</v>
      </c>
      <c r="T23" s="8">
        <v>0.15</v>
      </c>
    </row>
    <row r="24" spans="1:31" x14ac:dyDescent="0.2">
      <c r="A24" t="s">
        <v>3</v>
      </c>
      <c r="F24">
        <v>2540716879</v>
      </c>
      <c r="G24">
        <v>401159541</v>
      </c>
      <c r="H24">
        <v>401773841</v>
      </c>
      <c r="I24">
        <v>435927486</v>
      </c>
      <c r="J24">
        <v>440227707</v>
      </c>
      <c r="K24" s="9">
        <f>J24*(1+K25)</f>
        <v>449032261.13999999</v>
      </c>
      <c r="L24" s="9">
        <f t="shared" ref="L24:O24" si="11">K24*(1+L25)</f>
        <v>453522583.75139999</v>
      </c>
      <c r="M24" s="9">
        <f t="shared" si="11"/>
        <v>458057809.58891398</v>
      </c>
      <c r="N24" s="9">
        <f t="shared" si="11"/>
        <v>462638387.68480313</v>
      </c>
      <c r="O24" s="9">
        <f t="shared" si="11"/>
        <v>467264771.56165117</v>
      </c>
      <c r="P24" s="9">
        <f t="shared" ref="P24" si="12">O24*(1+P25)</f>
        <v>467264771.56165117</v>
      </c>
      <c r="Q24" s="9">
        <f t="shared" ref="Q24" si="13">P24*(1+Q25)</f>
        <v>467264771.56165117</v>
      </c>
      <c r="R24" s="9">
        <f t="shared" ref="R24" si="14">Q24*(1+R25)</f>
        <v>467264771.56165117</v>
      </c>
      <c r="S24" s="9">
        <f t="shared" ref="S24" si="15">R24*(1+S25)</f>
        <v>467264771.56165117</v>
      </c>
      <c r="T24" s="9">
        <f t="shared" ref="T24" si="16">S24*(1+T25)</f>
        <v>467264771.56165117</v>
      </c>
    </row>
    <row r="25" spans="1:31" x14ac:dyDescent="0.2">
      <c r="A25" s="3" t="s">
        <v>24</v>
      </c>
      <c r="E25" s="5"/>
      <c r="F25" s="5" t="e">
        <f t="shared" ref="F25:I25" si="17">F24/E24-1</f>
        <v>#DIV/0!</v>
      </c>
      <c r="G25" s="5">
        <f t="shared" si="17"/>
        <v>-0.84210773568840447</v>
      </c>
      <c r="H25" s="5">
        <f t="shared" si="17"/>
        <v>1.5313109554087045E-3</v>
      </c>
      <c r="I25" s="5">
        <f t="shared" si="17"/>
        <v>8.5007139626096295E-2</v>
      </c>
      <c r="J25" s="5">
        <f>J24/I24-1</f>
        <v>9.8645328365460916E-3</v>
      </c>
      <c r="K25" s="8">
        <v>0.02</v>
      </c>
      <c r="L25" s="8">
        <v>0.01</v>
      </c>
      <c r="M25" s="8">
        <v>0.01</v>
      </c>
      <c r="N25" s="8">
        <v>0.01</v>
      </c>
      <c r="O25" s="8">
        <v>0.01</v>
      </c>
    </row>
    <row r="26" spans="1:31" x14ac:dyDescent="0.2">
      <c r="A26" t="s">
        <v>25</v>
      </c>
      <c r="D26" s="7"/>
      <c r="E26" s="7"/>
      <c r="F26" s="7">
        <f t="shared" ref="F26:I26" si="18">(F22/F24)*1000</f>
        <v>-2.1674197725515248E-2</v>
      </c>
      <c r="G26" s="7">
        <f t="shared" si="18"/>
        <v>-3.5095762560960753E-2</v>
      </c>
      <c r="H26" s="7">
        <f t="shared" si="18"/>
        <v>0.87676190944447274</v>
      </c>
      <c r="I26" s="7">
        <f t="shared" si="18"/>
        <v>2.231657858802691</v>
      </c>
      <c r="J26" s="7">
        <f>(J22/J24)*1000</f>
        <v>3.174086904984379</v>
      </c>
      <c r="K26" s="7">
        <f t="shared" ref="K26:T26" si="19">(K22/K24)*1000</f>
        <v>3.6482521452712384</v>
      </c>
      <c r="L26" s="7">
        <f t="shared" si="19"/>
        <v>3.9733439205924381</v>
      </c>
      <c r="M26" s="7">
        <f t="shared" si="19"/>
        <v>4.3274042699521615</v>
      </c>
      <c r="N26" s="7">
        <f t="shared" si="19"/>
        <v>4.7130145514330462</v>
      </c>
      <c r="O26" s="7">
        <f t="shared" si="19"/>
        <v>5.1329861451251011</v>
      </c>
      <c r="P26" s="7">
        <f t="shared" si="19"/>
        <v>5.3896354523813557</v>
      </c>
      <c r="Q26" s="7">
        <f t="shared" si="19"/>
        <v>5.6591172250004247</v>
      </c>
      <c r="R26" s="7">
        <f t="shared" si="19"/>
        <v>5.9420730862504465</v>
      </c>
      <c r="S26" s="7">
        <f t="shared" si="19"/>
        <v>6.2391767405629688</v>
      </c>
      <c r="T26" s="7">
        <f t="shared" si="19"/>
        <v>6.5511355775911184</v>
      </c>
    </row>
    <row r="27" spans="1:31" x14ac:dyDescent="0.2">
      <c r="A27" s="3" t="s">
        <v>24</v>
      </c>
      <c r="E27" s="5"/>
      <c r="F27" s="5" t="e">
        <f t="shared" ref="F27:I27" si="20">F26/E26-1</f>
        <v>#DIV/0!</v>
      </c>
      <c r="G27" s="5">
        <f t="shared" si="20"/>
        <v>0.61924159802442902</v>
      </c>
      <c r="H27" s="5">
        <f>H26/G26-1</f>
        <v>-25.981987723490892</v>
      </c>
      <c r="I27" s="5">
        <f t="shared" si="20"/>
        <v>1.5453407986401886</v>
      </c>
      <c r="J27" s="5">
        <f>J26/I26-1</f>
        <v>0.42229996971279071</v>
      </c>
      <c r="K27" s="5">
        <f t="shared" ref="K27:T27" si="21">K26/J26-1</f>
        <v>0.14938634463418787</v>
      </c>
      <c r="L27" s="5">
        <f t="shared" si="21"/>
        <v>8.9108910891089188E-2</v>
      </c>
      <c r="M27" s="5">
        <f t="shared" si="21"/>
        <v>8.910891089108941E-2</v>
      </c>
      <c r="N27" s="5">
        <f t="shared" si="21"/>
        <v>8.9108910891088966E-2</v>
      </c>
      <c r="O27" s="5">
        <f t="shared" si="21"/>
        <v>8.910891089108941E-2</v>
      </c>
      <c r="P27" s="5">
        <f t="shared" si="21"/>
        <v>4.9999999999999822E-2</v>
      </c>
      <c r="Q27" s="5">
        <f t="shared" si="21"/>
        <v>5.0000000000000266E-2</v>
      </c>
      <c r="R27" s="5">
        <f t="shared" si="21"/>
        <v>5.0000000000000044E-2</v>
      </c>
      <c r="S27" s="5">
        <f t="shared" si="21"/>
        <v>5.0000000000000044E-2</v>
      </c>
      <c r="T27" s="5">
        <f t="shared" si="21"/>
        <v>5.0000000000000266E-2</v>
      </c>
    </row>
    <row r="29" spans="1:31" ht="15" x14ac:dyDescent="0.25">
      <c r="J29" s="4"/>
      <c r="K29" s="2" t="s">
        <v>28</v>
      </c>
      <c r="N29" s="2" t="s">
        <v>64</v>
      </c>
    </row>
    <row r="30" spans="1:31" x14ac:dyDescent="0.2">
      <c r="K30" t="s">
        <v>29</v>
      </c>
      <c r="L30" s="8">
        <v>-0.02</v>
      </c>
      <c r="N30" t="s">
        <v>59</v>
      </c>
      <c r="O30">
        <v>8</v>
      </c>
      <c r="P30">
        <v>10</v>
      </c>
      <c r="Q30">
        <v>15</v>
      </c>
    </row>
    <row r="31" spans="1:31" x14ac:dyDescent="0.2">
      <c r="K31" t="s">
        <v>30</v>
      </c>
      <c r="L31" s="8">
        <v>0.15</v>
      </c>
      <c r="N31" t="s">
        <v>2</v>
      </c>
      <c r="O31">
        <f>main!J5</f>
        <v>5.54</v>
      </c>
      <c r="P31">
        <f>O31</f>
        <v>5.54</v>
      </c>
      <c r="Q31">
        <f>P31</f>
        <v>5.54</v>
      </c>
    </row>
    <row r="32" spans="1:31" x14ac:dyDescent="0.2">
      <c r="K32" t="s">
        <v>31</v>
      </c>
      <c r="L32" s="9">
        <f>NPV(L31,K22:AE22)</f>
        <v>14716614.412817577</v>
      </c>
      <c r="N32" t="s">
        <v>65</v>
      </c>
      <c r="O32" s="9">
        <f>$O$26*O30/$L$33</f>
        <v>7.9890834943581348</v>
      </c>
      <c r="P32" s="9">
        <f t="shared" ref="P32:Q32" si="22">$O$26*P30/$L$33</f>
        <v>9.9863543679476692</v>
      </c>
      <c r="Q32" s="9">
        <f t="shared" si="22"/>
        <v>14.979531551921502</v>
      </c>
    </row>
    <row r="33" spans="11:17" x14ac:dyDescent="0.2">
      <c r="K33" t="s">
        <v>34</v>
      </c>
      <c r="L33" s="7">
        <v>5.14</v>
      </c>
      <c r="N33" t="s">
        <v>32</v>
      </c>
      <c r="O33" s="4">
        <f>O32/O31-1</f>
        <v>0.4420728329166308</v>
      </c>
      <c r="P33" s="4">
        <f t="shared" ref="P33:Q33" si="23">P32/P31-1</f>
        <v>0.80259104114578861</v>
      </c>
      <c r="Q33" s="4">
        <f t="shared" si="23"/>
        <v>1.7038865617186825</v>
      </c>
    </row>
    <row r="34" spans="11:17" x14ac:dyDescent="0.2">
      <c r="K34" t="s">
        <v>35</v>
      </c>
      <c r="L34" s="9">
        <f>L32/L33</f>
        <v>2863154.5550228748</v>
      </c>
      <c r="N34" t="s">
        <v>66</v>
      </c>
      <c r="O34" s="4">
        <f>(O32/O31)^(1/5)-1</f>
        <v>7.5963252462895481E-2</v>
      </c>
      <c r="P34" s="4">
        <f t="shared" ref="P34:Q34" si="24">(P32/P31)^(1/5)-1</f>
        <v>0.12506973390995313</v>
      </c>
      <c r="Q34" s="4">
        <f t="shared" si="24"/>
        <v>0.22010636705425024</v>
      </c>
    </row>
    <row r="35" spans="11:17" x14ac:dyDescent="0.2">
      <c r="K35" t="s">
        <v>4</v>
      </c>
      <c r="L35" s="9">
        <f>main!J7/L33</f>
        <v>2445702.8150800001</v>
      </c>
    </row>
    <row r="36" spans="11:17" x14ac:dyDescent="0.2">
      <c r="K36" t="s">
        <v>32</v>
      </c>
      <c r="L36" s="4">
        <f>L34/L35-1</f>
        <v>0.17068784374327994</v>
      </c>
    </row>
    <row r="37" spans="11:17" x14ac:dyDescent="0.2">
      <c r="K37" t="s">
        <v>3</v>
      </c>
      <c r="L37">
        <f>main!J6</f>
        <v>441462602</v>
      </c>
    </row>
    <row r="38" spans="11:17" x14ac:dyDescent="0.2">
      <c r="K38" t="s">
        <v>33</v>
      </c>
      <c r="L38" s="7">
        <f>L34/L37*1000</f>
        <v>6.485610654337771</v>
      </c>
    </row>
    <row r="40" spans="11:17" x14ac:dyDescent="0.2">
      <c r="K40" t="s">
        <v>61</v>
      </c>
    </row>
    <row r="41" spans="11:17" x14ac:dyDescent="0.2">
      <c r="K41" t="s">
        <v>68</v>
      </c>
    </row>
    <row r="42" spans="11:17" x14ac:dyDescent="0.2">
      <c r="K42" t="s">
        <v>62</v>
      </c>
    </row>
    <row r="43" spans="11:17" x14ac:dyDescent="0.2">
      <c r="K4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DEBC-A022-40A5-BACE-B5FE9C7979E5}">
  <dimension ref="A1:H39"/>
  <sheetViews>
    <sheetView zoomScale="130" zoomScaleNormal="130" workbookViewId="0">
      <pane ySplit="1" topLeftCell="A2" activePane="bottomLeft" state="frozen"/>
      <selection pane="bottomLeft" activeCell="H2" sqref="H2"/>
    </sheetView>
  </sheetViews>
  <sheetFormatPr defaultRowHeight="14.25" x14ac:dyDescent="0.2"/>
  <cols>
    <col min="1" max="1" width="10.75" customWidth="1"/>
    <col min="4" max="8" width="9.375" bestFit="1" customWidth="1"/>
  </cols>
  <sheetData>
    <row r="1" spans="1:8" x14ac:dyDescent="0.2">
      <c r="D1">
        <v>2022</v>
      </c>
      <c r="E1">
        <f t="shared" ref="E1:G1" si="0">D1+1</f>
        <v>2023</v>
      </c>
      <c r="F1">
        <f t="shared" si="0"/>
        <v>2024</v>
      </c>
      <c r="G1">
        <f t="shared" si="0"/>
        <v>2025</v>
      </c>
      <c r="H1" s="1" t="s">
        <v>90</v>
      </c>
    </row>
    <row r="3" spans="1:8" x14ac:dyDescent="0.2">
      <c r="A3" t="s">
        <v>5</v>
      </c>
      <c r="D3">
        <v>1331648</v>
      </c>
      <c r="E3">
        <v>4259379</v>
      </c>
      <c r="F3">
        <v>1108394</v>
      </c>
      <c r="G3">
        <v>3801513</v>
      </c>
      <c r="H3">
        <v>3106104</v>
      </c>
    </row>
    <row r="4" spans="1:8" x14ac:dyDescent="0.2">
      <c r="A4" t="s">
        <v>36</v>
      </c>
      <c r="D4">
        <v>4258856</v>
      </c>
      <c r="E4">
        <v>3718506</v>
      </c>
      <c r="F4">
        <v>6194960</v>
      </c>
      <c r="G4">
        <v>4600218</v>
      </c>
    </row>
    <row r="5" spans="1:8" x14ac:dyDescent="0.2">
      <c r="A5" t="s">
        <v>37</v>
      </c>
      <c r="D5">
        <v>2854778</v>
      </c>
      <c r="E5">
        <v>2664415</v>
      </c>
      <c r="F5">
        <v>5285402</v>
      </c>
      <c r="G5">
        <v>7867658</v>
      </c>
    </row>
    <row r="6" spans="1:8" x14ac:dyDescent="0.2">
      <c r="A6" t="s">
        <v>38</v>
      </c>
      <c r="D6">
        <v>12448565</v>
      </c>
      <c r="E6">
        <v>16868112</v>
      </c>
      <c r="F6">
        <v>23899551</v>
      </c>
      <c r="G6">
        <v>29010323</v>
      </c>
    </row>
    <row r="7" spans="1:8" x14ac:dyDescent="0.2">
      <c r="A7" t="s">
        <v>39</v>
      </c>
      <c r="D7">
        <v>0</v>
      </c>
      <c r="E7">
        <v>4238</v>
      </c>
      <c r="F7">
        <v>563</v>
      </c>
      <c r="G7">
        <v>58915</v>
      </c>
    </row>
    <row r="8" spans="1:8" x14ac:dyDescent="0.2">
      <c r="A8" t="s">
        <v>40</v>
      </c>
      <c r="D8">
        <v>21379916</v>
      </c>
      <c r="E8">
        <v>27900543</v>
      </c>
      <c r="F8">
        <v>33327355</v>
      </c>
      <c r="G8">
        <v>45251104</v>
      </c>
    </row>
    <row r="9" spans="1:8" x14ac:dyDescent="0.2">
      <c r="A9" t="s">
        <v>41</v>
      </c>
      <c r="D9">
        <v>166943</v>
      </c>
      <c r="E9">
        <v>174355</v>
      </c>
      <c r="F9">
        <v>234611</v>
      </c>
      <c r="G9">
        <v>366398</v>
      </c>
    </row>
    <row r="10" spans="1:8" x14ac:dyDescent="0.2">
      <c r="A10" t="s">
        <v>42</v>
      </c>
      <c r="D10">
        <v>72090</v>
      </c>
      <c r="E10">
        <v>90634</v>
      </c>
      <c r="F10">
        <v>10401</v>
      </c>
      <c r="G10">
        <v>10401</v>
      </c>
    </row>
    <row r="11" spans="1:8" x14ac:dyDescent="0.2">
      <c r="A11" t="s">
        <v>43</v>
      </c>
      <c r="D11">
        <v>188019</v>
      </c>
      <c r="E11">
        <v>167547</v>
      </c>
      <c r="F11">
        <v>369942</v>
      </c>
      <c r="G11">
        <v>381404</v>
      </c>
    </row>
    <row r="12" spans="1:8" x14ac:dyDescent="0.2">
      <c r="A12" t="s">
        <v>44</v>
      </c>
      <c r="D12">
        <v>1238629</v>
      </c>
      <c r="E12">
        <v>1345304</v>
      </c>
      <c r="F12">
        <v>1836053</v>
      </c>
      <c r="G12">
        <v>2023939</v>
      </c>
    </row>
    <row r="13" spans="1:8" x14ac:dyDescent="0.2">
      <c r="A13" t="s">
        <v>45</v>
      </c>
      <c r="D13">
        <v>978148</v>
      </c>
      <c r="E13">
        <v>1033535</v>
      </c>
      <c r="F13">
        <v>1676341</v>
      </c>
      <c r="G13">
        <v>1789304</v>
      </c>
    </row>
    <row r="14" spans="1:8" x14ac:dyDescent="0.2">
      <c r="A14" t="s">
        <v>13</v>
      </c>
      <c r="D14">
        <v>1425508</v>
      </c>
      <c r="E14">
        <v>2125231</v>
      </c>
      <c r="F14">
        <v>2486145</v>
      </c>
      <c r="G14">
        <v>3450341</v>
      </c>
    </row>
    <row r="15" spans="1:8" ht="15" x14ac:dyDescent="0.25">
      <c r="A15" s="2" t="s">
        <v>46</v>
      </c>
      <c r="D15" s="2">
        <f t="shared" ref="D15:F15" si="1">SUM(D3:D14)</f>
        <v>46343100</v>
      </c>
      <c r="E15" s="2">
        <f t="shared" si="1"/>
        <v>60351799</v>
      </c>
      <c r="F15" s="2">
        <f t="shared" si="1"/>
        <v>76429718</v>
      </c>
      <c r="G15" s="2">
        <f>SUM(G3:G14)</f>
        <v>98611518</v>
      </c>
      <c r="H15" s="2">
        <v>98611518</v>
      </c>
    </row>
    <row r="17" spans="1:8" x14ac:dyDescent="0.2">
      <c r="A17" t="s">
        <v>47</v>
      </c>
      <c r="D17">
        <v>23642804</v>
      </c>
      <c r="E17">
        <v>32651620</v>
      </c>
      <c r="F17">
        <v>42803229</v>
      </c>
      <c r="G17">
        <v>54883084</v>
      </c>
    </row>
    <row r="18" spans="1:8" x14ac:dyDescent="0.2">
      <c r="A18" t="s">
        <v>48</v>
      </c>
      <c r="D18">
        <v>7906897</v>
      </c>
      <c r="E18">
        <v>9522469</v>
      </c>
      <c r="F18">
        <v>11319577</v>
      </c>
      <c r="G18">
        <v>14585704</v>
      </c>
    </row>
    <row r="19" spans="1:8" x14ac:dyDescent="0.2">
      <c r="A19" t="s">
        <v>38</v>
      </c>
      <c r="D19">
        <v>6202165</v>
      </c>
      <c r="E19">
        <v>8095042</v>
      </c>
      <c r="F19">
        <v>9890219</v>
      </c>
      <c r="G19">
        <v>14127144</v>
      </c>
    </row>
    <row r="20" spans="1:8" x14ac:dyDescent="0.2">
      <c r="A20" t="s">
        <v>39</v>
      </c>
      <c r="D20">
        <v>37768</v>
      </c>
      <c r="E20">
        <v>15063</v>
      </c>
      <c r="F20">
        <v>70048</v>
      </c>
      <c r="G20">
        <v>54114</v>
      </c>
    </row>
    <row r="21" spans="1:8" x14ac:dyDescent="0.2">
      <c r="A21" t="s">
        <v>49</v>
      </c>
      <c r="D21">
        <v>36448</v>
      </c>
      <c r="E21">
        <v>107412</v>
      </c>
      <c r="F21">
        <v>128924</v>
      </c>
      <c r="G21">
        <v>817495</v>
      </c>
      <c r="H21">
        <v>831651</v>
      </c>
    </row>
    <row r="22" spans="1:8" x14ac:dyDescent="0.2">
      <c r="A22" t="s">
        <v>18</v>
      </c>
      <c r="D22">
        <v>166865</v>
      </c>
      <c r="E22">
        <v>363262</v>
      </c>
      <c r="F22">
        <v>574429</v>
      </c>
      <c r="G22">
        <v>815527</v>
      </c>
    </row>
    <row r="23" spans="1:8" x14ac:dyDescent="0.2">
      <c r="A23" t="s">
        <v>50</v>
      </c>
      <c r="D23">
        <v>57449</v>
      </c>
      <c r="E23">
        <v>70452</v>
      </c>
      <c r="F23">
        <v>155262</v>
      </c>
      <c r="G23">
        <v>265455</v>
      </c>
    </row>
    <row r="24" spans="1:8" x14ac:dyDescent="0.2">
      <c r="A24" t="s">
        <v>51</v>
      </c>
      <c r="D24">
        <v>30073</v>
      </c>
      <c r="E24">
        <v>32539</v>
      </c>
      <c r="F24">
        <v>32790</v>
      </c>
      <c r="G24">
        <v>40923</v>
      </c>
    </row>
    <row r="25" spans="1:8" x14ac:dyDescent="0.2">
      <c r="A25" t="s">
        <v>13</v>
      </c>
      <c r="D25">
        <v>1173527</v>
      </c>
      <c r="E25">
        <v>1897248</v>
      </c>
      <c r="F25">
        <v>2382932</v>
      </c>
      <c r="G25">
        <v>2629110</v>
      </c>
    </row>
    <row r="26" spans="1:8" ht="15" x14ac:dyDescent="0.25">
      <c r="A26" s="2" t="s">
        <v>52</v>
      </c>
      <c r="D26" s="2">
        <f t="shared" ref="D26:F26" si="2">SUM(D17:D25)</f>
        <v>39253996</v>
      </c>
      <c r="E26" s="2">
        <f t="shared" si="2"/>
        <v>52755107</v>
      </c>
      <c r="F26" s="2">
        <f t="shared" si="2"/>
        <v>67357410</v>
      </c>
      <c r="G26" s="2">
        <f>SUM(G17:G25)</f>
        <v>88218556</v>
      </c>
      <c r="H26" s="2">
        <v>92277963</v>
      </c>
    </row>
    <row r="28" spans="1:8" ht="15" x14ac:dyDescent="0.25">
      <c r="A28" s="2" t="s">
        <v>53</v>
      </c>
      <c r="D28" s="2">
        <f t="shared" ref="D28:F28" si="3">D15-D26</f>
        <v>7089104</v>
      </c>
      <c r="E28" s="2">
        <f t="shared" si="3"/>
        <v>7596692</v>
      </c>
      <c r="F28" s="2">
        <f t="shared" si="3"/>
        <v>9072308</v>
      </c>
      <c r="G28" s="2">
        <f>G15-G26</f>
        <v>10392962</v>
      </c>
      <c r="H28" s="2">
        <v>10633559</v>
      </c>
    </row>
    <row r="29" spans="1:8" x14ac:dyDescent="0.2">
      <c r="A29" t="s">
        <v>24</v>
      </c>
      <c r="E29" s="10">
        <f t="shared" ref="E29:F29" si="4">E28/D28-1</f>
        <v>7.1601150159456006E-2</v>
      </c>
      <c r="F29" s="10">
        <f t="shared" si="4"/>
        <v>0.19424454749514664</v>
      </c>
      <c r="G29" s="10">
        <f>G28/F28-1</f>
        <v>0.1455697932653961</v>
      </c>
      <c r="H29" s="10">
        <f>H28/G28-1</f>
        <v>2.314999323580702E-2</v>
      </c>
    </row>
    <row r="31" spans="1:8" x14ac:dyDescent="0.2">
      <c r="A31" t="s">
        <v>54</v>
      </c>
      <c r="D31" s="6">
        <f t="shared" ref="D31:F31" si="5">D21/D28</f>
        <v>5.141411382877159E-3</v>
      </c>
      <c r="E31" s="6">
        <f t="shared" si="5"/>
        <v>1.4139312216422622E-2</v>
      </c>
      <c r="F31" s="6">
        <f t="shared" si="5"/>
        <v>1.4210716831924137E-2</v>
      </c>
      <c r="G31" s="6">
        <f>G21/G28</f>
        <v>7.8658519101676691E-2</v>
      </c>
    </row>
    <row r="32" spans="1:8" x14ac:dyDescent="0.2">
      <c r="A32" t="s">
        <v>55</v>
      </c>
      <c r="D32" s="6">
        <f t="shared" ref="D32:F32" si="6">D8/(D17+D18)</f>
        <v>0.67765827638112952</v>
      </c>
      <c r="E32" s="6">
        <f t="shared" si="6"/>
        <v>0.66155650688743983</v>
      </c>
      <c r="F32" s="6">
        <f t="shared" si="6"/>
        <v>0.61577285922684788</v>
      </c>
      <c r="G32" s="6">
        <f>G8/(G17+G18)</f>
        <v>0.6513875555162989</v>
      </c>
    </row>
    <row r="34" spans="1:8" x14ac:dyDescent="0.2">
      <c r="A34" t="s">
        <v>56</v>
      </c>
      <c r="D34" s="5">
        <f>model!G22/balance!D28</f>
        <v>-1.9860055657245261E-3</v>
      </c>
      <c r="E34" s="5">
        <f>model!H22/balance!E28</f>
        <v>4.6370183232385884E-2</v>
      </c>
      <c r="F34" s="5">
        <f>model!I22/balance!F28</f>
        <v>0.10723191937487131</v>
      </c>
      <c r="G34" s="5">
        <f>model!J22/balance!G28</f>
        <v>0.13444877408384637</v>
      </c>
      <c r="H34" s="5">
        <f>(H37*4)/H28</f>
        <v>0.15840754727556408</v>
      </c>
    </row>
    <row r="35" spans="1:8" x14ac:dyDescent="0.2">
      <c r="A35" t="s">
        <v>67</v>
      </c>
      <c r="D35" s="5">
        <f>model!G22/D15</f>
        <v>-3.0379927108889997E-4</v>
      </c>
      <c r="E35" s="5">
        <f>model!H22/E15</f>
        <v>5.8367771273893591E-3</v>
      </c>
      <c r="F35" s="5">
        <f>model!I22/F15</f>
        <v>1.2728569795324902E-2</v>
      </c>
      <c r="G35" s="5">
        <f>model!J22/G15</f>
        <v>1.4169957306609963E-2</v>
      </c>
    </row>
    <row r="37" spans="1:8" x14ac:dyDescent="0.2">
      <c r="H37">
        <v>421109</v>
      </c>
    </row>
    <row r="38" spans="1:8" x14ac:dyDescent="0.2">
      <c r="H38" s="4"/>
    </row>
    <row r="39" spans="1:8" x14ac:dyDescent="0.2">
      <c r="G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Morais</dc:creator>
  <cp:lastModifiedBy>Francisco Morais</cp:lastModifiedBy>
  <dcterms:created xsi:type="dcterms:W3CDTF">2026-08-23T22:33:18Z</dcterms:created>
  <dcterms:modified xsi:type="dcterms:W3CDTF">2026-10-06T08:53:15Z</dcterms:modified>
</cp:coreProperties>
</file>