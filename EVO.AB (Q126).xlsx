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Stocks\"/>
    </mc:Choice>
  </mc:AlternateContent>
  <xr:revisionPtr revIDLastSave="0" documentId="13_ncr:1_{DE9AAE31-FEA1-4062-810A-4DCD8729E038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Screen" sheetId="1" r:id="rId1"/>
    <sheet name="Metrics" sheetId="2" r:id="rId2"/>
    <sheet name="Q. Model" sheetId="3" r:id="rId3"/>
    <sheet name="Mode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4" l="1"/>
  <c r="J9" i="4" s="1"/>
  <c r="E24" i="2"/>
  <c r="F24" i="2"/>
  <c r="G24" i="2"/>
  <c r="H24" i="2"/>
  <c r="I24" i="2"/>
  <c r="J24" i="2"/>
  <c r="K24" i="2"/>
  <c r="M43" i="4"/>
  <c r="G35" i="4"/>
  <c r="F35" i="4"/>
  <c r="E35" i="4"/>
  <c r="D35" i="4"/>
  <c r="C35" i="4"/>
  <c r="B35" i="4"/>
  <c r="J32" i="4"/>
  <c r="L28" i="4"/>
  <c r="K28" i="4"/>
  <c r="J28" i="4"/>
  <c r="I28" i="4"/>
  <c r="H28" i="4"/>
  <c r="G28" i="4"/>
  <c r="F28" i="4"/>
  <c r="E28" i="4"/>
  <c r="L26" i="4"/>
  <c r="K26" i="4"/>
  <c r="J26" i="4"/>
  <c r="I26" i="4"/>
  <c r="H26" i="4"/>
  <c r="G26" i="4"/>
  <c r="F26" i="4"/>
  <c r="E26" i="4"/>
  <c r="L25" i="4"/>
  <c r="L27" i="4" s="1"/>
  <c r="L29" i="4" s="1"/>
  <c r="L36" i="4" s="1"/>
  <c r="K25" i="4"/>
  <c r="K27" i="4" s="1"/>
  <c r="K29" i="4" s="1"/>
  <c r="K36" i="4" s="1"/>
  <c r="H25" i="4"/>
  <c r="H27" i="4" s="1"/>
  <c r="H29" i="4" s="1"/>
  <c r="H36" i="4" s="1"/>
  <c r="K24" i="4"/>
  <c r="J24" i="4"/>
  <c r="J25" i="4" s="1"/>
  <c r="J27" i="4" s="1"/>
  <c r="J29" i="4" s="1"/>
  <c r="J36" i="4" s="1"/>
  <c r="I24" i="4"/>
  <c r="I25" i="4" s="1"/>
  <c r="I27" i="4" s="1"/>
  <c r="I29" i="4" s="1"/>
  <c r="H24" i="4"/>
  <c r="G24" i="4"/>
  <c r="G25" i="4" s="1"/>
  <c r="G27" i="4" s="1"/>
  <c r="G29" i="4" s="1"/>
  <c r="G36" i="4" s="1"/>
  <c r="F24" i="4"/>
  <c r="F25" i="4" s="1"/>
  <c r="F27" i="4" s="1"/>
  <c r="F29" i="4" s="1"/>
  <c r="F36" i="4" s="1"/>
  <c r="E24" i="4"/>
  <c r="E25" i="4" s="1"/>
  <c r="E27" i="4" s="1"/>
  <c r="E29" i="4" s="1"/>
  <c r="E36" i="4" s="1"/>
  <c r="L20" i="4"/>
  <c r="L37" i="4" s="1"/>
  <c r="K20" i="4"/>
  <c r="K37" i="4" s="1"/>
  <c r="J20" i="4"/>
  <c r="J37" i="4" s="1"/>
  <c r="I20" i="4"/>
  <c r="I37" i="4" s="1"/>
  <c r="H20" i="4"/>
  <c r="H37" i="4" s="1"/>
  <c r="G20" i="4"/>
  <c r="F20" i="4"/>
  <c r="F17" i="4"/>
  <c r="L15" i="4"/>
  <c r="L16" i="4" s="1"/>
  <c r="L34" i="4" s="1"/>
  <c r="H15" i="4"/>
  <c r="G15" i="4"/>
  <c r="F15" i="4"/>
  <c r="F16" i="4" s="1"/>
  <c r="F34" i="4" s="1"/>
  <c r="G9" i="4"/>
  <c r="F9" i="4"/>
  <c r="E9" i="4"/>
  <c r="D9" i="4"/>
  <c r="C9" i="4"/>
  <c r="L8" i="4"/>
  <c r="K8" i="4"/>
  <c r="J8" i="4"/>
  <c r="J35" i="4" s="1"/>
  <c r="I32" i="4"/>
  <c r="H8" i="4"/>
  <c r="O2" i="4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AG2" i="4" s="1"/>
  <c r="AH2" i="4" s="1"/>
  <c r="AI2" i="4" s="1"/>
  <c r="AJ2" i="4" s="1"/>
  <c r="AK2" i="4" s="1"/>
  <c r="AL2" i="4" s="1"/>
  <c r="AM2" i="4" s="1"/>
  <c r="M2" i="4"/>
  <c r="N2" i="4" s="1"/>
  <c r="O33" i="3"/>
  <c r="O32" i="3"/>
  <c r="M29" i="3"/>
  <c r="I29" i="3"/>
  <c r="E29" i="3"/>
  <c r="N28" i="3"/>
  <c r="K28" i="3"/>
  <c r="J28" i="3"/>
  <c r="I28" i="3"/>
  <c r="F28" i="3"/>
  <c r="C28" i="3"/>
  <c r="N25" i="3"/>
  <c r="M25" i="3"/>
  <c r="J25" i="3"/>
  <c r="F25" i="3"/>
  <c r="E25" i="3"/>
  <c r="O24" i="3"/>
  <c r="N24" i="3"/>
  <c r="M24" i="3"/>
  <c r="J24" i="3"/>
  <c r="G24" i="3"/>
  <c r="F24" i="3"/>
  <c r="E24" i="3"/>
  <c r="O20" i="3"/>
  <c r="O29" i="3" s="1"/>
  <c r="N20" i="3"/>
  <c r="N29" i="3" s="1"/>
  <c r="M20" i="3"/>
  <c r="L20" i="3"/>
  <c r="L29" i="3" s="1"/>
  <c r="K20" i="3"/>
  <c r="K29" i="3" s="1"/>
  <c r="J20" i="3"/>
  <c r="J29" i="3" s="1"/>
  <c r="I20" i="3"/>
  <c r="H20" i="3"/>
  <c r="H29" i="3" s="1"/>
  <c r="G20" i="3"/>
  <c r="G29" i="3" s="1"/>
  <c r="F20" i="3"/>
  <c r="F29" i="3" s="1"/>
  <c r="E20" i="3"/>
  <c r="D20" i="3"/>
  <c r="D29" i="3" s="1"/>
  <c r="C20" i="3"/>
  <c r="C29" i="3" s="1"/>
  <c r="O15" i="3"/>
  <c r="O16" i="3" s="1"/>
  <c r="O27" i="3" s="1"/>
  <c r="N15" i="3"/>
  <c r="M15" i="3"/>
  <c r="M26" i="3" s="1"/>
  <c r="J15" i="3"/>
  <c r="J16" i="3" s="1"/>
  <c r="J27" i="3" s="1"/>
  <c r="G15" i="3"/>
  <c r="G16" i="3" s="1"/>
  <c r="G27" i="3" s="1"/>
  <c r="F15" i="3"/>
  <c r="F16" i="3" s="1"/>
  <c r="F27" i="3" s="1"/>
  <c r="E15" i="3"/>
  <c r="E17" i="3" s="1"/>
  <c r="O9" i="3"/>
  <c r="N9" i="3"/>
  <c r="J9" i="3"/>
  <c r="G9" i="3"/>
  <c r="O8" i="3"/>
  <c r="N8" i="3"/>
  <c r="M8" i="3"/>
  <c r="M28" i="3" s="1"/>
  <c r="L8" i="3"/>
  <c r="K8" i="3"/>
  <c r="K25" i="3" s="1"/>
  <c r="J8" i="3"/>
  <c r="I8" i="3"/>
  <c r="I25" i="3" s="1"/>
  <c r="H8" i="3"/>
  <c r="H25" i="3" s="1"/>
  <c r="G8" i="3"/>
  <c r="G25" i="3" s="1"/>
  <c r="F8" i="3"/>
  <c r="E8" i="3"/>
  <c r="E28" i="3" s="1"/>
  <c r="D8" i="3"/>
  <c r="D25" i="3" s="1"/>
  <c r="C8" i="3"/>
  <c r="C25" i="3" s="1"/>
  <c r="K23" i="2"/>
  <c r="K22" i="2"/>
  <c r="J22" i="2"/>
  <c r="I22" i="2"/>
  <c r="H22" i="2"/>
  <c r="G22" i="2"/>
  <c r="F22" i="2"/>
  <c r="E22" i="2"/>
  <c r="K18" i="2"/>
  <c r="J18" i="2"/>
  <c r="I18" i="2"/>
  <c r="H18" i="2"/>
  <c r="G18" i="2"/>
  <c r="F18" i="2"/>
  <c r="E18" i="2"/>
  <c r="K17" i="2"/>
  <c r="J17" i="2"/>
  <c r="I17" i="2"/>
  <c r="K16" i="2"/>
  <c r="J16" i="2"/>
  <c r="I16" i="2"/>
  <c r="H16" i="2"/>
  <c r="G16" i="2"/>
  <c r="F16" i="2"/>
  <c r="E16" i="2"/>
  <c r="K15" i="2"/>
  <c r="J15" i="2"/>
  <c r="I15" i="2"/>
  <c r="H15" i="2"/>
  <c r="G15" i="2"/>
  <c r="F15" i="2"/>
  <c r="E15" i="2"/>
  <c r="K14" i="2"/>
  <c r="J14" i="2"/>
  <c r="I14" i="2"/>
  <c r="E14" i="2"/>
  <c r="D14" i="2"/>
  <c r="C14" i="2"/>
  <c r="H7" i="2"/>
  <c r="H14" i="2" s="1"/>
  <c r="G7" i="2"/>
  <c r="G14" i="2" s="1"/>
  <c r="F7" i="2"/>
  <c r="F14" i="2" s="1"/>
  <c r="E7" i="2"/>
  <c r="K6" i="1"/>
  <c r="K10" i="1" s="1"/>
  <c r="K3" i="1"/>
  <c r="I36" i="4" l="1"/>
  <c r="M45" i="4"/>
  <c r="K5" i="1"/>
  <c r="E16" i="3"/>
  <c r="E27" i="3" s="1"/>
  <c r="M17" i="3"/>
  <c r="E26" i="3"/>
  <c r="M8" i="4"/>
  <c r="K32" i="4"/>
  <c r="H33" i="4"/>
  <c r="H17" i="4"/>
  <c r="K31" i="4"/>
  <c r="O25" i="3"/>
  <c r="O28" i="3"/>
  <c r="K9" i="3"/>
  <c r="C15" i="3"/>
  <c r="I15" i="3"/>
  <c r="N26" i="3"/>
  <c r="N17" i="3"/>
  <c r="O17" i="3"/>
  <c r="K24" i="3"/>
  <c r="G26" i="3"/>
  <c r="G28" i="3"/>
  <c r="H32" i="4"/>
  <c r="H9" i="4"/>
  <c r="H35" i="4"/>
  <c r="H31" i="4"/>
  <c r="L32" i="4"/>
  <c r="L9" i="4"/>
  <c r="L35" i="4"/>
  <c r="L31" i="4"/>
  <c r="K9" i="4"/>
  <c r="K15" i="4"/>
  <c r="D28" i="3"/>
  <c r="D24" i="3"/>
  <c r="D15" i="3"/>
  <c r="H28" i="3"/>
  <c r="H24" i="3"/>
  <c r="H15" i="3"/>
  <c r="L28" i="3"/>
  <c r="L24" i="3"/>
  <c r="L15" i="3"/>
  <c r="L9" i="3"/>
  <c r="J26" i="3"/>
  <c r="J17" i="3"/>
  <c r="M16" i="3"/>
  <c r="M27" i="3" s="1"/>
  <c r="L33" i="4"/>
  <c r="L17" i="4"/>
  <c r="I9" i="3"/>
  <c r="M9" i="3"/>
  <c r="H9" i="3"/>
  <c r="F26" i="3"/>
  <c r="F17" i="3"/>
  <c r="K15" i="3"/>
  <c r="N16" i="3"/>
  <c r="N27" i="3" s="1"/>
  <c r="G17" i="3"/>
  <c r="C24" i="3"/>
  <c r="I24" i="3"/>
  <c r="L25" i="3"/>
  <c r="O26" i="3"/>
  <c r="G16" i="4"/>
  <c r="G34" i="4" s="1"/>
  <c r="G17" i="4"/>
  <c r="H16" i="4"/>
  <c r="H34" i="4" s="1"/>
  <c r="K35" i="4"/>
  <c r="I15" i="4"/>
  <c r="I31" i="4"/>
  <c r="I35" i="4"/>
  <c r="I9" i="4"/>
  <c r="J15" i="4"/>
  <c r="J31" i="4"/>
  <c r="I17" i="4" l="1"/>
  <c r="I33" i="4"/>
  <c r="I16" i="4"/>
  <c r="I34" i="4" s="1"/>
  <c r="K16" i="4"/>
  <c r="K34" i="4" s="1"/>
  <c r="K33" i="4"/>
  <c r="K17" i="4"/>
  <c r="D26" i="3"/>
  <c r="D16" i="3"/>
  <c r="D27" i="3" s="1"/>
  <c r="D17" i="3"/>
  <c r="C16" i="3"/>
  <c r="C27" i="3" s="1"/>
  <c r="C26" i="3"/>
  <c r="C17" i="3"/>
  <c r="N8" i="4"/>
  <c r="M29" i="4"/>
  <c r="K12" i="1"/>
  <c r="K14" i="1"/>
  <c r="K13" i="1"/>
  <c r="K8" i="1"/>
  <c r="K15" i="1" s="1"/>
  <c r="K16" i="3"/>
  <c r="K27" i="3" s="1"/>
  <c r="K17" i="3"/>
  <c r="K26" i="3"/>
  <c r="L17" i="3"/>
  <c r="L26" i="3"/>
  <c r="L16" i="3"/>
  <c r="L27" i="3" s="1"/>
  <c r="J16" i="4"/>
  <c r="J34" i="4" s="1"/>
  <c r="J33" i="4"/>
  <c r="J17" i="4"/>
  <c r="I26" i="3"/>
  <c r="I16" i="3"/>
  <c r="I27" i="3" s="1"/>
  <c r="I17" i="3"/>
  <c r="H26" i="3"/>
  <c r="H16" i="3"/>
  <c r="H27" i="3" s="1"/>
  <c r="H17" i="3"/>
  <c r="N29" i="4" l="1"/>
  <c r="O8" i="4"/>
  <c r="P8" i="4" l="1"/>
  <c r="O29" i="4"/>
  <c r="Q8" i="4" l="1"/>
  <c r="P29" i="4"/>
  <c r="R8" i="4" l="1"/>
  <c r="Q29" i="4"/>
  <c r="R29" i="4" l="1"/>
  <c r="S8" i="4"/>
  <c r="S29" i="4" l="1"/>
  <c r="T8" i="4"/>
  <c r="U8" i="4" l="1"/>
  <c r="T29" i="4"/>
  <c r="V8" i="4" l="1"/>
  <c r="U29" i="4"/>
  <c r="V29" i="4" l="1"/>
  <c r="W29" i="4" s="1"/>
  <c r="X29" i="4" s="1"/>
  <c r="Y29" i="4" s="1"/>
  <c r="Z29" i="4" s="1"/>
  <c r="AA29" i="4" s="1"/>
  <c r="AB29" i="4" s="1"/>
  <c r="AC29" i="4" s="1"/>
  <c r="AD29" i="4" s="1"/>
  <c r="AE29" i="4" s="1"/>
  <c r="AF29" i="4" s="1"/>
  <c r="AG29" i="4" s="1"/>
  <c r="AH29" i="4" s="1"/>
  <c r="AI29" i="4" s="1"/>
  <c r="AJ29" i="4" s="1"/>
  <c r="AK29" i="4" s="1"/>
  <c r="AL29" i="4" s="1"/>
  <c r="AM29" i="4" s="1"/>
  <c r="M42" i="4" s="1" a="1"/>
  <c r="M42" i="4" s="1"/>
  <c r="M44" i="4" s="1"/>
  <c r="M46" i="4" s="1"/>
  <c r="W8" i="4"/>
</calcChain>
</file>

<file path=xl/sharedStrings.xml><?xml version="1.0" encoding="utf-8"?>
<sst xmlns="http://schemas.openxmlformats.org/spreadsheetml/2006/main" count="147" uniqueCount="121">
  <si>
    <t>SBC</t>
  </si>
  <si>
    <t>Joined</t>
  </si>
  <si>
    <t>Shares</t>
  </si>
  <si>
    <t>CEO</t>
  </si>
  <si>
    <t>Martin Carlesund</t>
  </si>
  <si>
    <t xml:space="preserve">Founded </t>
  </si>
  <si>
    <t>2006 (20y)</t>
  </si>
  <si>
    <t>STO:EVO</t>
  </si>
  <si>
    <t>CFO</t>
  </si>
  <si>
    <t>Joakim Andersson</t>
  </si>
  <si>
    <t>2100 (100k in the next 3y)</t>
  </si>
  <si>
    <t>Headcount</t>
  </si>
  <si>
    <t xml:space="preserve">Price </t>
  </si>
  <si>
    <t>Board</t>
  </si>
  <si>
    <t>Jesper Von Bahr</t>
  </si>
  <si>
    <t>Studios</t>
  </si>
  <si>
    <t>SHARES OUT</t>
  </si>
  <si>
    <t>sek to eur</t>
  </si>
  <si>
    <t>MC</t>
  </si>
  <si>
    <t xml:space="preserve">CASH </t>
  </si>
  <si>
    <t>q1/26</t>
  </si>
  <si>
    <t>Products:</t>
  </si>
  <si>
    <t>Brands:</t>
  </si>
  <si>
    <t xml:space="preserve">DEBT </t>
  </si>
  <si>
    <t>EV</t>
  </si>
  <si>
    <t>Live (80%)</t>
  </si>
  <si>
    <t>Roulette</t>
  </si>
  <si>
    <t>Ezugi</t>
  </si>
  <si>
    <t>live casino provider</t>
  </si>
  <si>
    <t>BlackJack</t>
  </si>
  <si>
    <t>Hasbro</t>
  </si>
  <si>
    <t>partnership with their brands (mainly monopoly)</t>
  </si>
  <si>
    <t>Net Cash</t>
  </si>
  <si>
    <t xml:space="preserve">Baccarat </t>
  </si>
  <si>
    <t>DigiWheel</t>
  </si>
  <si>
    <t>HD spinning gaming wheel</t>
  </si>
  <si>
    <t>Game Shows</t>
  </si>
  <si>
    <t>LiveSpins</t>
  </si>
  <si>
    <t>place bets with streamers</t>
  </si>
  <si>
    <t>P/S</t>
  </si>
  <si>
    <t>P/E</t>
  </si>
  <si>
    <t>RNG (20%)</t>
  </si>
  <si>
    <t>Slots</t>
  </si>
  <si>
    <t>NETENT</t>
  </si>
  <si>
    <t>slots provider</t>
  </si>
  <si>
    <t>P/FCF</t>
  </si>
  <si>
    <t>Table Games with multiples</t>
  </si>
  <si>
    <t>Red Tiger</t>
  </si>
  <si>
    <t>EV/EBITDA</t>
  </si>
  <si>
    <t>Big Time Gaming</t>
  </si>
  <si>
    <t>No Limit City</t>
  </si>
  <si>
    <t>NOTES:</t>
  </si>
  <si>
    <t>Decline - Long term bet on being compliant to gambling regulations / Asia cybercrime issue</t>
  </si>
  <si>
    <t>Q1 Comments - Asia is better but still going to face issues this FY, NA and SA expansion, EU regulation issues</t>
  </si>
  <si>
    <t>December 2025 - Growth has returned to Asia / Bigger bets in the US</t>
  </si>
  <si>
    <t>July 2025 - Brazil office &amp; hasbro deal</t>
  </si>
  <si>
    <t>Customer Dependency - TOP 1-5</t>
  </si>
  <si>
    <t>Customer Dependency - TOP 1</t>
  </si>
  <si>
    <t>NR - Europe</t>
  </si>
  <si>
    <t>NR - Asia</t>
  </si>
  <si>
    <t>NR - North America</t>
  </si>
  <si>
    <t>NR - LatAm</t>
  </si>
  <si>
    <t>NR- Other</t>
  </si>
  <si>
    <t>Total Net Revenue</t>
  </si>
  <si>
    <t>%Europe</t>
  </si>
  <si>
    <t>%Asia</t>
  </si>
  <si>
    <t>%NA</t>
  </si>
  <si>
    <t>%Latam</t>
  </si>
  <si>
    <t>%Other</t>
  </si>
  <si>
    <t>Live Tables</t>
  </si>
  <si>
    <t>rev. per studio</t>
  </si>
  <si>
    <t>rev. per live table</t>
  </si>
  <si>
    <t>growth %</t>
  </si>
  <si>
    <t>in thousands, eur</t>
  </si>
  <si>
    <t>q1/23</t>
  </si>
  <si>
    <t>q2/23</t>
  </si>
  <si>
    <t>q3/23</t>
  </si>
  <si>
    <t>q4/23</t>
  </si>
  <si>
    <t>q1/24</t>
  </si>
  <si>
    <t>q2/24</t>
  </si>
  <si>
    <t>q3/24</t>
  </si>
  <si>
    <t>q4/24</t>
  </si>
  <si>
    <t>q1/25</t>
  </si>
  <si>
    <t>q2/25</t>
  </si>
  <si>
    <t>q3/25</t>
  </si>
  <si>
    <t>q4/25</t>
  </si>
  <si>
    <t>Live Games</t>
  </si>
  <si>
    <t xml:space="preserve">RNG </t>
  </si>
  <si>
    <t>Other</t>
  </si>
  <si>
    <t>Revenue</t>
  </si>
  <si>
    <t xml:space="preserve">% yoy </t>
  </si>
  <si>
    <t>G&amp;A</t>
  </si>
  <si>
    <t>Depreciation, amortization &amp; impairment</t>
  </si>
  <si>
    <t xml:space="preserve">Other expenses </t>
  </si>
  <si>
    <t>EBIT</t>
  </si>
  <si>
    <t>EBITDA</t>
  </si>
  <si>
    <t>Financial G/L</t>
  </si>
  <si>
    <t>Profit Before Tax</t>
  </si>
  <si>
    <t>Taxes</t>
  </si>
  <si>
    <t>Net Income</t>
  </si>
  <si>
    <t>% Live Games</t>
  </si>
  <si>
    <t>% RNG</t>
  </si>
  <si>
    <t>EBIT %</t>
  </si>
  <si>
    <t>EBITDA %</t>
  </si>
  <si>
    <t>NI %</t>
  </si>
  <si>
    <t>Tax Rate</t>
  </si>
  <si>
    <t>FORECAST</t>
  </si>
  <si>
    <t>Non-Cash Expenses</t>
  </si>
  <si>
    <t>OCF (before WC)</t>
  </si>
  <si>
    <t>Var WC</t>
  </si>
  <si>
    <t xml:space="preserve">OCF </t>
  </si>
  <si>
    <t>CAPEX</t>
  </si>
  <si>
    <t>FCF</t>
  </si>
  <si>
    <t>FCF %</t>
  </si>
  <si>
    <t>Maturity</t>
  </si>
  <si>
    <t>Discount</t>
  </si>
  <si>
    <t>NPV</t>
  </si>
  <si>
    <t>Shares Out.</t>
  </si>
  <si>
    <t>FV</t>
  </si>
  <si>
    <t>Current</t>
  </si>
  <si>
    <t>Upside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</si>
</sst>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€]#,##0.00"/>
    <numFmt numFmtId="165" formatCode="#,##0.000"/>
    <numFmt numFmtId="166" formatCode="[$€]#,##0"/>
    <numFmt numFmtId="167" formatCode="&quot;$&quot;#,##0"/>
    <numFmt numFmtId="168" formatCode="#,##0.0"/>
    <numFmt numFmtId="169" formatCode="_(&quot;$&quot;* #,##0_);_(&quot;$&quot;* \(#,##0\);_(&quot;$&quot;* &quot;-&quot;??_);_(@_)"/>
    <numFmt numFmtId="170" formatCode="_(&quot;$&quot;* #,##0.00_);_(&quot;$&quot;* \(#,##0.00\);_(&quot;$&quot;* &quot;-&quot;??_);_(@_)"/>
    <numFmt numFmtId="171" formatCode="&quot;$&quot;#,##0.00"/>
  </numFmts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sz val="12"/>
      <color rgb="FF000000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i/>
      <sz val="12"/>
      <color theme="1"/>
      <name val="Arial"/>
      <family val="2"/>
      <scheme val="minor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0" fontId="1" fillId="0" borderId="0" xfId="0" applyNumberFormat="1" applyFont="1"/>
    <xf numFmtId="4" fontId="1" fillId="0" borderId="0" xfId="0" applyNumberFormat="1" applyFont="1"/>
    <xf numFmtId="3" fontId="1" fillId="0" borderId="0" xfId="0" applyNumberFormat="1" applyFont="1"/>
    <xf numFmtId="9" fontId="1" fillId="0" borderId="0" xfId="0" applyNumberFormat="1" applyFont="1"/>
    <xf numFmtId="4" fontId="1" fillId="2" borderId="0" xfId="0" applyNumberFormat="1" applyFont="1" applyFill="1"/>
    <xf numFmtId="10" fontId="1" fillId="2" borderId="0" xfId="0" applyNumberFormat="1" applyFont="1" applyFill="1"/>
    <xf numFmtId="9" fontId="1" fillId="2" borderId="0" xfId="0" applyNumberFormat="1" applyFont="1" applyFill="1"/>
    <xf numFmtId="4" fontId="2" fillId="0" borderId="0" xfId="0" applyNumberFormat="1" applyFont="1" applyAlignment="1">
      <alignment horizontal="right" wrapText="1"/>
    </xf>
    <xf numFmtId="4" fontId="2" fillId="0" borderId="0" xfId="0" applyNumberFormat="1" applyFont="1"/>
    <xf numFmtId="167" fontId="1" fillId="0" borderId="0" xfId="0" applyNumberFormat="1" applyFont="1"/>
    <xf numFmtId="171" fontId="1" fillId="0" borderId="0" xfId="0" applyNumberFormat="1" applyFont="1"/>
    <xf numFmtId="0" fontId="1" fillId="2" borderId="0" xfId="0" applyFont="1" applyFill="1"/>
    <xf numFmtId="4" fontId="2" fillId="2" borderId="0" xfId="0" applyNumberFormat="1" applyFont="1" applyFill="1" applyAlignment="1">
      <alignment horizontal="right" wrapText="1"/>
    </xf>
    <xf numFmtId="4" fontId="2" fillId="2" borderId="0" xfId="0" applyNumberFormat="1" applyFont="1" applyFill="1"/>
    <xf numFmtId="169" fontId="1" fillId="2" borderId="0" xfId="0" applyNumberFormat="1" applyFont="1" applyFill="1"/>
    <xf numFmtId="167" fontId="1" fillId="2" borderId="0" xfId="0" applyNumberFormat="1" applyFont="1" applyFill="1"/>
    <xf numFmtId="0" fontId="0" fillId="0" borderId="0" xfId="0" applyBorder="1"/>
    <xf numFmtId="0" fontId="3" fillId="0" borderId="0" xfId="0" applyFont="1"/>
    <xf numFmtId="0" fontId="4" fillId="0" borderId="0" xfId="0" applyFont="1"/>
    <xf numFmtId="169" fontId="4" fillId="0" borderId="0" xfId="0" applyNumberFormat="1" applyFont="1"/>
    <xf numFmtId="170" fontId="4" fillId="0" borderId="0" xfId="0" applyNumberFormat="1" applyFont="1"/>
    <xf numFmtId="0" fontId="4" fillId="0" borderId="2" xfId="0" applyFont="1" applyBorder="1"/>
    <xf numFmtId="4" fontId="4" fillId="0" borderId="0" xfId="0" applyNumberFormat="1" applyFont="1"/>
    <xf numFmtId="4" fontId="4" fillId="0" borderId="2" xfId="0" applyNumberFormat="1" applyFont="1" applyBorder="1"/>
    <xf numFmtId="4" fontId="4" fillId="3" borderId="0" xfId="0" applyNumberFormat="1" applyFont="1" applyFill="1"/>
    <xf numFmtId="4" fontId="5" fillId="0" borderId="0" xfId="0" applyNumberFormat="1" applyFont="1"/>
    <xf numFmtId="4" fontId="5" fillId="0" borderId="2" xfId="0" applyNumberFormat="1" applyFont="1" applyBorder="1"/>
    <xf numFmtId="4" fontId="6" fillId="0" borderId="0" xfId="0" applyNumberFormat="1" applyFont="1"/>
    <xf numFmtId="10" fontId="4" fillId="0" borderId="0" xfId="0" applyNumberFormat="1" applyFont="1"/>
    <xf numFmtId="10" fontId="4" fillId="0" borderId="2" xfId="0" applyNumberFormat="1" applyFont="1" applyBorder="1"/>
    <xf numFmtId="9" fontId="4" fillId="0" borderId="0" xfId="0" applyNumberFormat="1" applyFont="1"/>
    <xf numFmtId="4" fontId="4" fillId="0" borderId="0" xfId="0" applyNumberFormat="1" applyFont="1" applyBorder="1"/>
    <xf numFmtId="4" fontId="4" fillId="2" borderId="0" xfId="0" applyNumberFormat="1" applyFont="1" applyFill="1"/>
    <xf numFmtId="4" fontId="4" fillId="2" borderId="2" xfId="0" applyNumberFormat="1" applyFont="1" applyFill="1" applyBorder="1"/>
    <xf numFmtId="10" fontId="4" fillId="2" borderId="0" xfId="0" applyNumberFormat="1" applyFont="1" applyFill="1"/>
    <xf numFmtId="10" fontId="4" fillId="2" borderId="2" xfId="0" applyNumberFormat="1" applyFont="1" applyFill="1" applyBorder="1"/>
    <xf numFmtId="9" fontId="4" fillId="2" borderId="0" xfId="0" applyNumberFormat="1" applyFont="1" applyFill="1"/>
    <xf numFmtId="4" fontId="7" fillId="0" borderId="0" xfId="0" applyNumberFormat="1" applyFont="1" applyAlignment="1">
      <alignment horizontal="right" wrapText="1"/>
    </xf>
    <xf numFmtId="4" fontId="7" fillId="0" borderId="0" xfId="0" applyNumberFormat="1" applyFont="1"/>
    <xf numFmtId="9" fontId="4" fillId="0" borderId="2" xfId="0" applyNumberFormat="1" applyFont="1" applyBorder="1"/>
    <xf numFmtId="9" fontId="4" fillId="0" borderId="1" xfId="0" applyNumberFormat="1" applyFont="1" applyBorder="1"/>
    <xf numFmtId="167" fontId="4" fillId="0" borderId="2" xfId="0" applyNumberFormat="1" applyFont="1" applyBorder="1"/>
    <xf numFmtId="167" fontId="4" fillId="0" borderId="1" xfId="0" applyNumberFormat="1" applyFont="1" applyBorder="1"/>
    <xf numFmtId="3" fontId="4" fillId="0" borderId="2" xfId="0" applyNumberFormat="1" applyFont="1" applyBorder="1"/>
    <xf numFmtId="3" fontId="4" fillId="0" borderId="1" xfId="0" applyNumberFormat="1" applyFont="1" applyBorder="1"/>
    <xf numFmtId="171" fontId="4" fillId="0" borderId="2" xfId="0" applyNumberFormat="1" applyFont="1" applyBorder="1"/>
    <xf numFmtId="171" fontId="4" fillId="0" borderId="1" xfId="0" applyNumberFormat="1" applyFont="1" applyBorder="1"/>
    <xf numFmtId="164" fontId="4" fillId="0" borderId="1" xfId="0" applyNumberFormat="1" applyFont="1" applyBorder="1"/>
    <xf numFmtId="167" fontId="4" fillId="0" borderId="0" xfId="0" applyNumberFormat="1" applyFont="1"/>
    <xf numFmtId="9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0" fontId="4" fillId="0" borderId="0" xfId="0" applyNumberFormat="1" applyFont="1" applyAlignment="1">
      <alignment horizontal="left"/>
    </xf>
    <xf numFmtId="4" fontId="4" fillId="0" borderId="0" xfId="0" applyNumberFormat="1" applyFont="1" applyAlignment="1">
      <alignment horizontal="left"/>
    </xf>
    <xf numFmtId="168" fontId="4" fillId="0" borderId="0" xfId="0" applyNumberFormat="1" applyFont="1" applyAlignment="1">
      <alignment horizontal="left"/>
    </xf>
    <xf numFmtId="3" fontId="4" fillId="0" borderId="0" xfId="0" applyNumberFormat="1" applyFont="1"/>
    <xf numFmtId="0" fontId="6" fillId="0" borderId="0" xfId="0" applyFont="1"/>
    <xf numFmtId="168" fontId="4" fillId="0" borderId="0" xfId="0" applyNumberFormat="1" applyFont="1"/>
    <xf numFmtId="0" fontId="3" fillId="0" borderId="0" xfId="0" applyFont="1" applyBorder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164" fontId="4" fillId="0" borderId="0" xfId="0" applyNumberFormat="1" applyFont="1" applyBorder="1"/>
    <xf numFmtId="3" fontId="4" fillId="0" borderId="0" xfId="0" applyNumberFormat="1" applyFont="1" applyBorder="1"/>
    <xf numFmtId="165" fontId="4" fillId="0" borderId="0" xfId="0" applyNumberFormat="1" applyFont="1" applyBorder="1"/>
    <xf numFmtId="166" fontId="4" fillId="0" borderId="0" xfId="0" applyNumberFormat="1" applyFont="1" applyBorder="1"/>
    <xf numFmtId="167" fontId="4" fillId="0" borderId="0" xfId="0" applyNumberFormat="1" applyFont="1" applyBorder="1"/>
    <xf numFmtId="0" fontId="7" fillId="2" borderId="0" xfId="0" applyFont="1" applyFill="1" applyBorder="1" applyAlignment="1">
      <alignment horizontal="left"/>
    </xf>
    <xf numFmtId="0" fontId="4" fillId="0" borderId="0" xfId="0" applyFont="1" applyBorder="1" applyAlignment="1">
      <alignment wrapText="1"/>
    </xf>
    <xf numFmtId="0" fontId="3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5"/>
  <sheetViews>
    <sheetView showGridLines="0" zoomScale="115" zoomScaleNormal="115" workbookViewId="0">
      <selection activeCell="H21" sqref="H21"/>
    </sheetView>
  </sheetViews>
  <sheetFormatPr defaultColWidth="12.5703125" defaultRowHeight="15.75" customHeight="1" x14ac:dyDescent="0.2"/>
  <cols>
    <col min="1" max="1" width="40.42578125" style="19" customWidth="1"/>
    <col min="2" max="2" width="13.140625" style="19" customWidth="1"/>
    <col min="3" max="3" width="20.140625" style="19" bestFit="1" customWidth="1"/>
    <col min="4" max="4" width="12.5703125" style="19"/>
    <col min="5" max="5" width="29" style="19" bestFit="1" customWidth="1"/>
    <col min="6" max="6" width="9" style="19" bestFit="1" customWidth="1"/>
    <col min="7" max="7" width="20.42578125" style="19" customWidth="1"/>
    <col min="8" max="8" width="15.85546875" style="19" customWidth="1"/>
    <col min="9" max="9" width="33.28515625" style="19" customWidth="1"/>
    <col min="10" max="10" width="16" style="19" bestFit="1" customWidth="1"/>
    <col min="11" max="11" width="16.7109375" style="19" customWidth="1"/>
    <col min="12" max="16384" width="12.5703125" style="19"/>
  </cols>
  <sheetData>
    <row r="1" spans="1:12" x14ac:dyDescent="0.2">
      <c r="A1" s="60"/>
      <c r="B1" s="61" t="s">
        <v>0</v>
      </c>
      <c r="C1" s="60"/>
      <c r="D1" s="61" t="s">
        <v>1</v>
      </c>
      <c r="E1" s="61" t="s">
        <v>2</v>
      </c>
      <c r="F1" s="60"/>
      <c r="G1" s="60"/>
      <c r="H1" s="60"/>
      <c r="I1" s="60"/>
      <c r="J1" s="60"/>
      <c r="K1" s="60"/>
    </row>
    <row r="2" spans="1:12" x14ac:dyDescent="0.2">
      <c r="A2" s="61"/>
      <c r="B2" s="61" t="s">
        <v>3</v>
      </c>
      <c r="C2" s="61" t="s">
        <v>4</v>
      </c>
      <c r="D2" s="61">
        <v>2015</v>
      </c>
      <c r="E2" s="61">
        <v>784710</v>
      </c>
      <c r="F2" s="61"/>
      <c r="G2" s="61" t="s">
        <v>5</v>
      </c>
      <c r="H2" s="62" t="s">
        <v>6</v>
      </c>
      <c r="I2" s="60"/>
      <c r="J2" s="61" t="s">
        <v>7</v>
      </c>
      <c r="K2" s="61"/>
    </row>
    <row r="3" spans="1:12" x14ac:dyDescent="0.2">
      <c r="A3" s="60"/>
      <c r="B3" s="61" t="s">
        <v>8</v>
      </c>
      <c r="C3" s="61" t="s">
        <v>9</v>
      </c>
      <c r="D3" s="61">
        <v>2025</v>
      </c>
      <c r="E3" s="61" t="s">
        <v>10</v>
      </c>
      <c r="F3" s="61"/>
      <c r="G3" s="61" t="s">
        <v>11</v>
      </c>
      <c r="H3" s="62">
        <v>22800</v>
      </c>
      <c r="I3" s="60"/>
      <c r="J3" s="61" t="s">
        <v>12</v>
      </c>
      <c r="K3" s="63">
        <f ca="1">IFERROR(__xludf.DUMMYFUNCTION("GOOGLEFINANCE(J2)*H5"),59.1008)</f>
        <v>59.1008</v>
      </c>
    </row>
    <row r="4" spans="1:12" x14ac:dyDescent="0.2">
      <c r="A4" s="60"/>
      <c r="B4" s="61" t="s">
        <v>13</v>
      </c>
      <c r="C4" s="61" t="s">
        <v>14</v>
      </c>
      <c r="D4" s="61">
        <v>2011</v>
      </c>
      <c r="E4" s="61">
        <v>17500</v>
      </c>
      <c r="F4" s="60"/>
      <c r="G4" s="61" t="s">
        <v>15</v>
      </c>
      <c r="H4" s="62">
        <v>24</v>
      </c>
      <c r="I4" s="60"/>
      <c r="J4" s="61" t="s">
        <v>16</v>
      </c>
      <c r="K4" s="64">
        <v>199226</v>
      </c>
    </row>
    <row r="5" spans="1:12" x14ac:dyDescent="0.2">
      <c r="A5" s="61"/>
      <c r="B5" s="61"/>
      <c r="C5" s="60"/>
      <c r="D5" s="60"/>
      <c r="E5" s="60"/>
      <c r="F5" s="61"/>
      <c r="G5" s="61" t="s">
        <v>17</v>
      </c>
      <c r="H5" s="65">
        <v>9.1999999999999998E-2</v>
      </c>
      <c r="I5" s="60"/>
      <c r="J5" s="61" t="s">
        <v>18</v>
      </c>
      <c r="K5" s="66">
        <f ca="1">K3*K4</f>
        <v>11774415.980799999</v>
      </c>
    </row>
    <row r="6" spans="1:12" x14ac:dyDescent="0.2">
      <c r="A6" s="60"/>
      <c r="B6" s="60"/>
      <c r="C6" s="60"/>
      <c r="D6" s="60"/>
      <c r="E6" s="60"/>
      <c r="F6" s="60"/>
      <c r="G6" s="60"/>
      <c r="H6" s="60"/>
      <c r="I6" s="60"/>
      <c r="J6" s="61" t="s">
        <v>19</v>
      </c>
      <c r="K6" s="67">
        <f>1097951-10730</f>
        <v>1087221</v>
      </c>
      <c r="L6" s="61" t="s">
        <v>20</v>
      </c>
    </row>
    <row r="7" spans="1:12" x14ac:dyDescent="0.2">
      <c r="A7" s="68"/>
      <c r="B7" s="60"/>
      <c r="C7" s="60"/>
      <c r="D7" s="61" t="s">
        <v>21</v>
      </c>
      <c r="E7" s="60"/>
      <c r="F7" s="61" t="s">
        <v>22</v>
      </c>
      <c r="G7" s="60"/>
      <c r="H7" s="60"/>
      <c r="I7" s="60"/>
      <c r="J7" s="61" t="s">
        <v>23</v>
      </c>
      <c r="K7" s="61"/>
    </row>
    <row r="8" spans="1:12" x14ac:dyDescent="0.2">
      <c r="A8" s="60"/>
      <c r="B8" s="60"/>
      <c r="C8" s="60"/>
      <c r="D8" s="60"/>
      <c r="E8" s="60"/>
      <c r="F8" s="60"/>
      <c r="G8" s="60"/>
      <c r="H8" s="60"/>
      <c r="I8" s="60"/>
      <c r="J8" s="61" t="s">
        <v>24</v>
      </c>
      <c r="K8" s="67">
        <f ca="1">K5+K7-K6</f>
        <v>10687194.980799999</v>
      </c>
    </row>
    <row r="9" spans="1:12" x14ac:dyDescent="0.2">
      <c r="A9" s="60"/>
      <c r="B9" s="60"/>
      <c r="C9" s="60"/>
      <c r="D9" s="61" t="s">
        <v>25</v>
      </c>
      <c r="E9" s="61" t="s">
        <v>26</v>
      </c>
      <c r="F9" s="60"/>
      <c r="G9" s="61" t="s">
        <v>27</v>
      </c>
      <c r="H9" s="61" t="s">
        <v>28</v>
      </c>
      <c r="I9" s="60"/>
      <c r="J9" s="60"/>
      <c r="K9" s="60"/>
    </row>
    <row r="10" spans="1:12" x14ac:dyDescent="0.2">
      <c r="A10" s="60"/>
      <c r="B10" s="60"/>
      <c r="C10" s="60"/>
      <c r="D10" s="60"/>
      <c r="E10" s="61" t="s">
        <v>29</v>
      </c>
      <c r="F10" s="60"/>
      <c r="G10" s="61" t="s">
        <v>30</v>
      </c>
      <c r="H10" s="61" t="s">
        <v>31</v>
      </c>
      <c r="I10" s="60"/>
      <c r="J10" s="61" t="s">
        <v>32</v>
      </c>
      <c r="K10" s="67">
        <f>K6-K7</f>
        <v>1087221</v>
      </c>
    </row>
    <row r="11" spans="1:12" x14ac:dyDescent="0.2">
      <c r="A11" s="60"/>
      <c r="B11" s="60"/>
      <c r="C11" s="60"/>
      <c r="D11" s="60"/>
      <c r="E11" s="61" t="s">
        <v>33</v>
      </c>
      <c r="F11" s="60"/>
      <c r="G11" s="61" t="s">
        <v>34</v>
      </c>
      <c r="H11" s="61" t="s">
        <v>35</v>
      </c>
      <c r="I11" s="60"/>
      <c r="J11" s="60"/>
      <c r="K11" s="60"/>
    </row>
    <row r="12" spans="1:12" x14ac:dyDescent="0.2">
      <c r="A12" s="60"/>
      <c r="B12" s="60"/>
      <c r="C12" s="60"/>
      <c r="D12" s="61"/>
      <c r="E12" s="61" t="s">
        <v>36</v>
      </c>
      <c r="F12" s="60"/>
      <c r="G12" s="61" t="s">
        <v>37</v>
      </c>
      <c r="H12" s="61" t="s">
        <v>38</v>
      </c>
      <c r="I12" s="60"/>
      <c r="J12" s="61" t="s">
        <v>39</v>
      </c>
      <c r="K12" s="34">
        <f ca="1">K5/Model!L8</f>
        <v>5.5586710745455941</v>
      </c>
    </row>
    <row r="13" spans="1:12" x14ac:dyDescent="0.2">
      <c r="A13" s="60"/>
      <c r="B13" s="60"/>
      <c r="C13" s="60"/>
      <c r="D13" s="61"/>
      <c r="E13" s="61"/>
      <c r="F13" s="60"/>
      <c r="G13" s="61"/>
      <c r="H13" s="60"/>
      <c r="I13" s="60"/>
      <c r="J13" s="61" t="s">
        <v>40</v>
      </c>
      <c r="K13" s="34">
        <f ca="1">$K$5/Model!L22</f>
        <v>11.086018571579215</v>
      </c>
    </row>
    <row r="14" spans="1:12" x14ac:dyDescent="0.2">
      <c r="A14" s="60"/>
      <c r="B14" s="60"/>
      <c r="C14" s="60"/>
      <c r="D14" s="61" t="s">
        <v>41</v>
      </c>
      <c r="E14" s="61" t="s">
        <v>42</v>
      </c>
      <c r="F14" s="60"/>
      <c r="G14" s="61" t="s">
        <v>43</v>
      </c>
      <c r="H14" s="61" t="s">
        <v>44</v>
      </c>
      <c r="I14" s="60"/>
      <c r="J14" s="61" t="s">
        <v>45</v>
      </c>
      <c r="K14" s="34">
        <f ca="1">$K$5/Model!L29</f>
        <v>12.042161397307739</v>
      </c>
    </row>
    <row r="15" spans="1:12" x14ac:dyDescent="0.2">
      <c r="A15" s="60"/>
      <c r="B15" s="60"/>
      <c r="C15" s="60"/>
      <c r="D15" s="60"/>
      <c r="E15" s="69" t="s">
        <v>46</v>
      </c>
      <c r="F15" s="60"/>
      <c r="G15" s="61" t="s">
        <v>47</v>
      </c>
      <c r="H15" s="61" t="s">
        <v>44</v>
      </c>
      <c r="I15" s="60"/>
      <c r="J15" s="61" t="s">
        <v>48</v>
      </c>
      <c r="K15" s="34">
        <f ca="1">K8/Model!L16</f>
        <v>7.5403184703740802</v>
      </c>
    </row>
    <row r="16" spans="1:12" x14ac:dyDescent="0.2">
      <c r="A16" s="60"/>
      <c r="B16" s="60"/>
      <c r="C16" s="60"/>
      <c r="D16" s="60"/>
      <c r="E16" s="70"/>
      <c r="F16" s="60"/>
      <c r="G16" s="61" t="s">
        <v>49</v>
      </c>
      <c r="H16" s="61" t="s">
        <v>44</v>
      </c>
      <c r="I16" s="60"/>
      <c r="J16" s="60"/>
      <c r="K16" s="60"/>
    </row>
    <row r="17" spans="1:11" x14ac:dyDescent="0.2">
      <c r="A17" s="60"/>
      <c r="B17" s="60"/>
      <c r="C17" s="60"/>
      <c r="D17" s="60"/>
      <c r="E17" s="60"/>
      <c r="F17" s="60"/>
      <c r="G17" s="61" t="s">
        <v>50</v>
      </c>
      <c r="H17" s="61" t="s">
        <v>44</v>
      </c>
      <c r="I17" s="60"/>
      <c r="J17" s="60"/>
      <c r="K17" s="60"/>
    </row>
    <row r="18" spans="1:11" ht="15.75" customHeight="1" x14ac:dyDescent="0.2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</row>
    <row r="19" spans="1:11" ht="15.75" customHeight="1" x14ac:dyDescent="0.2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</row>
    <row r="20" spans="1:11" x14ac:dyDescent="0.2">
      <c r="A20" s="61" t="s">
        <v>51</v>
      </c>
      <c r="B20" s="60"/>
      <c r="C20" s="60"/>
      <c r="D20" s="60"/>
      <c r="E20" s="60"/>
      <c r="F20" s="60"/>
      <c r="G20" s="60"/>
      <c r="H20" s="60"/>
      <c r="I20" s="60"/>
      <c r="J20" s="60"/>
      <c r="K20" s="60"/>
    </row>
    <row r="21" spans="1:11" ht="15.75" customHeight="1" x14ac:dyDescent="0.2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</row>
    <row r="22" spans="1:11" x14ac:dyDescent="0.2">
      <c r="A22" s="61" t="s">
        <v>52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</row>
    <row r="23" spans="1:11" x14ac:dyDescent="0.2">
      <c r="A23" s="61" t="s">
        <v>53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</row>
    <row r="24" spans="1:11" x14ac:dyDescent="0.2">
      <c r="A24" s="61" t="s">
        <v>54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</row>
    <row r="25" spans="1:11" x14ac:dyDescent="0.2">
      <c r="A25" s="61" t="s">
        <v>55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</row>
  </sheetData>
  <mergeCells count="1">
    <mergeCell ref="E15:E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29"/>
  <sheetViews>
    <sheetView showGridLines="0" zoomScale="130" zoomScaleNormal="13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5" sqref="D5"/>
    </sheetView>
  </sheetViews>
  <sheetFormatPr defaultColWidth="12.5703125" defaultRowHeight="15.75" customHeight="1" x14ac:dyDescent="0.2"/>
  <cols>
    <col min="1" max="1" width="35.28515625" bestFit="1" customWidth="1"/>
  </cols>
  <sheetData>
    <row r="1" spans="1:15" ht="15.75" customHeight="1" x14ac:dyDescent="0.2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5" ht="15" x14ac:dyDescent="0.2">
      <c r="A2" s="20"/>
      <c r="B2" s="21"/>
      <c r="C2" s="21">
        <v>2017</v>
      </c>
      <c r="D2" s="21">
        <v>2018</v>
      </c>
      <c r="E2" s="21">
        <v>2019</v>
      </c>
      <c r="F2" s="21">
        <v>2020</v>
      </c>
      <c r="G2" s="21">
        <v>2021</v>
      </c>
      <c r="H2" s="21">
        <v>2022</v>
      </c>
      <c r="I2" s="21">
        <v>2023</v>
      </c>
      <c r="J2" s="21">
        <v>2024</v>
      </c>
      <c r="K2" s="21">
        <v>2025</v>
      </c>
    </row>
    <row r="3" spans="1:15" ht="15.75" customHeight="1" x14ac:dyDescent="0.2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</row>
    <row r="4" spans="1:15" ht="15" x14ac:dyDescent="0.2">
      <c r="A4" s="21" t="s">
        <v>56</v>
      </c>
      <c r="B4" s="20"/>
      <c r="C4" s="20"/>
      <c r="D4" s="52">
        <v>0.32</v>
      </c>
      <c r="E4" s="52">
        <v>0.27</v>
      </c>
      <c r="F4" s="52">
        <v>0.33</v>
      </c>
      <c r="G4" s="52">
        <v>0.22</v>
      </c>
      <c r="H4" s="52">
        <v>0.3</v>
      </c>
      <c r="I4" s="52">
        <v>0.41</v>
      </c>
      <c r="J4" s="52">
        <v>0.46</v>
      </c>
      <c r="K4" s="52">
        <v>0.39</v>
      </c>
      <c r="L4" s="2"/>
      <c r="M4" s="2"/>
      <c r="N4" s="2"/>
      <c r="O4" s="2"/>
    </row>
    <row r="5" spans="1:15" ht="15" x14ac:dyDescent="0.2">
      <c r="A5" s="21" t="s">
        <v>57</v>
      </c>
      <c r="B5" s="20"/>
      <c r="C5" s="20"/>
      <c r="D5" s="52">
        <v>7.0000000000000007E-2</v>
      </c>
      <c r="E5" s="52">
        <v>0.06</v>
      </c>
      <c r="F5" s="52">
        <v>0.11</v>
      </c>
      <c r="G5" s="52">
        <v>0.11</v>
      </c>
      <c r="H5" s="52">
        <v>0.14000000000000001</v>
      </c>
      <c r="I5" s="52">
        <v>0.13</v>
      </c>
      <c r="J5" s="52">
        <v>0.13</v>
      </c>
      <c r="K5" s="52">
        <v>0.12</v>
      </c>
      <c r="L5" s="2"/>
      <c r="M5" s="2"/>
      <c r="N5" s="2"/>
      <c r="O5" s="2"/>
    </row>
    <row r="6" spans="1:15" ht="15.75" customHeight="1" x14ac:dyDescent="0.2">
      <c r="A6" s="20"/>
      <c r="B6" s="20"/>
      <c r="C6" s="20"/>
      <c r="D6" s="53"/>
      <c r="E6" s="54"/>
      <c r="F6" s="54"/>
      <c r="G6" s="53"/>
      <c r="H6" s="53"/>
      <c r="I6" s="52"/>
      <c r="J6" s="52"/>
      <c r="K6" s="53"/>
      <c r="L6" s="2"/>
      <c r="M6" s="2"/>
      <c r="N6" s="2"/>
      <c r="O6" s="2"/>
    </row>
    <row r="7" spans="1:15" ht="15.75" customHeight="1" x14ac:dyDescent="0.2">
      <c r="A7" s="21" t="s">
        <v>58</v>
      </c>
      <c r="B7" s="20"/>
      <c r="C7" s="20"/>
      <c r="D7" s="55"/>
      <c r="E7" s="55">
        <f>24.3+49.9+184.3</f>
        <v>258.5</v>
      </c>
      <c r="F7" s="56">
        <f>29.8+43.9+268.9</f>
        <v>342.59999999999997</v>
      </c>
      <c r="G7" s="53">
        <f>73.1+81.4+416.9</f>
        <v>571.4</v>
      </c>
      <c r="H7" s="53">
        <f>89.5+85.2+458.6</f>
        <v>633.29999999999995</v>
      </c>
      <c r="I7" s="53">
        <v>709.9</v>
      </c>
      <c r="J7" s="53">
        <v>779</v>
      </c>
      <c r="K7" s="53">
        <v>729.8</v>
      </c>
      <c r="L7" s="2"/>
      <c r="M7" s="2"/>
      <c r="N7" s="2"/>
      <c r="O7" s="2"/>
    </row>
    <row r="8" spans="1:15" ht="15" x14ac:dyDescent="0.2">
      <c r="A8" s="21" t="s">
        <v>59</v>
      </c>
      <c r="B8" s="20"/>
      <c r="C8" s="20"/>
      <c r="D8" s="55"/>
      <c r="E8" s="55">
        <v>49.6</v>
      </c>
      <c r="F8" s="56">
        <v>125.7</v>
      </c>
      <c r="G8" s="53">
        <v>286.5</v>
      </c>
      <c r="H8" s="53">
        <v>478.3</v>
      </c>
      <c r="I8" s="53">
        <v>672.3</v>
      </c>
      <c r="J8" s="53">
        <v>802.7</v>
      </c>
      <c r="K8" s="53">
        <v>793.7</v>
      </c>
      <c r="L8" s="2"/>
      <c r="M8" s="2"/>
      <c r="N8" s="2"/>
      <c r="O8" s="2"/>
    </row>
    <row r="9" spans="1:15" ht="15" x14ac:dyDescent="0.2">
      <c r="A9" s="21" t="s">
        <v>60</v>
      </c>
      <c r="B9" s="20"/>
      <c r="C9" s="20"/>
      <c r="D9" s="55"/>
      <c r="E9" s="55">
        <v>22</v>
      </c>
      <c r="F9" s="56">
        <v>37.4</v>
      </c>
      <c r="G9" s="53">
        <v>114.5</v>
      </c>
      <c r="H9" s="53">
        <v>189.2</v>
      </c>
      <c r="I9" s="53">
        <v>226.7</v>
      </c>
      <c r="J9" s="53">
        <v>257.7</v>
      </c>
      <c r="K9" s="53">
        <v>296.7</v>
      </c>
      <c r="L9" s="2"/>
      <c r="M9" s="2"/>
      <c r="N9" s="2"/>
      <c r="O9" s="2"/>
    </row>
    <row r="10" spans="1:15" ht="15" x14ac:dyDescent="0.2">
      <c r="A10" s="21" t="s">
        <v>61</v>
      </c>
      <c r="B10" s="20"/>
      <c r="C10" s="20"/>
      <c r="D10" s="55"/>
      <c r="E10" s="55"/>
      <c r="F10" s="56"/>
      <c r="G10" s="53"/>
      <c r="H10" s="53"/>
      <c r="I10" s="53">
        <v>127.8</v>
      </c>
      <c r="J10" s="53">
        <v>145.5</v>
      </c>
      <c r="K10" s="53">
        <v>156.80000000000001</v>
      </c>
      <c r="L10" s="2"/>
      <c r="M10" s="2"/>
      <c r="N10" s="2"/>
      <c r="O10" s="2"/>
    </row>
    <row r="11" spans="1:15" ht="15" x14ac:dyDescent="0.2">
      <c r="A11" s="21" t="s">
        <v>62</v>
      </c>
      <c r="B11" s="20"/>
      <c r="C11" s="20"/>
      <c r="D11" s="55"/>
      <c r="E11" s="55">
        <v>35.5</v>
      </c>
      <c r="F11" s="56">
        <v>55.7</v>
      </c>
      <c r="G11" s="53">
        <v>96.3</v>
      </c>
      <c r="H11" s="53">
        <v>156</v>
      </c>
      <c r="I11" s="53">
        <v>62</v>
      </c>
      <c r="J11" s="53">
        <v>78.3</v>
      </c>
      <c r="K11" s="53">
        <v>89.6</v>
      </c>
      <c r="L11" s="2"/>
      <c r="M11" s="2"/>
      <c r="N11" s="2"/>
      <c r="O11" s="2"/>
    </row>
    <row r="12" spans="1:15" ht="15" x14ac:dyDescent="0.2">
      <c r="A12" s="21" t="s">
        <v>63</v>
      </c>
      <c r="B12" s="20"/>
      <c r="C12" s="20"/>
      <c r="D12" s="55"/>
      <c r="E12" s="55">
        <v>365.8</v>
      </c>
      <c r="F12" s="56">
        <v>561.1</v>
      </c>
      <c r="G12" s="53">
        <v>1068.7</v>
      </c>
      <c r="H12" s="53">
        <v>1456.7</v>
      </c>
      <c r="I12" s="53">
        <v>1798.6</v>
      </c>
      <c r="J12" s="53">
        <v>2063.1</v>
      </c>
      <c r="K12" s="53">
        <v>2063.1</v>
      </c>
      <c r="L12" s="2"/>
      <c r="M12" s="2"/>
      <c r="N12" s="2"/>
      <c r="O12" s="2"/>
    </row>
    <row r="13" spans="1:15" ht="15" x14ac:dyDescent="0.2">
      <c r="A13" s="21"/>
      <c r="B13" s="20"/>
      <c r="C13" s="20"/>
      <c r="D13" s="53"/>
      <c r="E13" s="54"/>
      <c r="F13" s="54"/>
      <c r="G13" s="53"/>
      <c r="H13" s="53"/>
      <c r="I13" s="53"/>
      <c r="J13" s="53"/>
      <c r="K13" s="53"/>
      <c r="L13" s="2"/>
      <c r="M13" s="2"/>
      <c r="N13" s="2"/>
      <c r="O13" s="2"/>
    </row>
    <row r="14" spans="1:15" ht="15" x14ac:dyDescent="0.2">
      <c r="A14" s="21" t="s">
        <v>64</v>
      </c>
      <c r="B14" s="20"/>
      <c r="C14" s="54">
        <f>9%+18%+55%</f>
        <v>0.82000000000000006</v>
      </c>
      <c r="D14" s="54">
        <f>9%+15%+50%</f>
        <v>0.74</v>
      </c>
      <c r="E14" s="54">
        <f t="shared" ref="E14:E16" si="0">E7/$E$12</f>
        <v>0.70667031164570804</v>
      </c>
      <c r="F14" s="54">
        <f t="shared" ref="F14:F16" si="1">F7/$F$12</f>
        <v>0.61058634824451963</v>
      </c>
      <c r="G14" s="54">
        <f t="shared" ref="G14:G16" si="2">G7/$G$12</f>
        <v>0.534668288574904</v>
      </c>
      <c r="H14" s="54">
        <f t="shared" ref="H14:H16" si="3">H7/$H$12</f>
        <v>0.43474977689297722</v>
      </c>
      <c r="I14" s="54">
        <f t="shared" ref="I14:I18" si="4">I7/$I$12</f>
        <v>0.39469587456910932</v>
      </c>
      <c r="J14" s="54">
        <f t="shared" ref="J14:K14" si="5">J7/$J$12</f>
        <v>0.3775871261693568</v>
      </c>
      <c r="K14" s="54">
        <f t="shared" si="5"/>
        <v>0.35373951820076582</v>
      </c>
      <c r="L14" s="2"/>
      <c r="M14" s="2"/>
      <c r="N14" s="2"/>
      <c r="O14" s="2"/>
    </row>
    <row r="15" spans="1:15" ht="15" x14ac:dyDescent="0.2">
      <c r="A15" s="21" t="s">
        <v>65</v>
      </c>
      <c r="B15" s="20"/>
      <c r="C15" s="54"/>
      <c r="D15" s="54"/>
      <c r="E15" s="54">
        <f t="shared" si="0"/>
        <v>0.13559322033898305</v>
      </c>
      <c r="F15" s="54">
        <f t="shared" si="1"/>
        <v>0.22402423810372482</v>
      </c>
      <c r="G15" s="54">
        <f t="shared" si="2"/>
        <v>0.26808271732010852</v>
      </c>
      <c r="H15" s="54">
        <f t="shared" si="3"/>
        <v>0.32834488913297177</v>
      </c>
      <c r="I15" s="54">
        <f t="shared" si="4"/>
        <v>0.37379072612031577</v>
      </c>
      <c r="J15" s="54">
        <f t="shared" ref="J15:K15" si="6">J8/$J$12</f>
        <v>0.38907469342251955</v>
      </c>
      <c r="K15" s="54">
        <f t="shared" si="6"/>
        <v>0.38471232611119194</v>
      </c>
      <c r="L15" s="2"/>
      <c r="M15" s="2"/>
      <c r="N15" s="2"/>
      <c r="O15" s="2"/>
    </row>
    <row r="16" spans="1:15" ht="15" x14ac:dyDescent="0.2">
      <c r="A16" s="21" t="s">
        <v>66</v>
      </c>
      <c r="B16" s="20"/>
      <c r="C16" s="54"/>
      <c r="D16" s="54"/>
      <c r="E16" s="54">
        <f t="shared" si="0"/>
        <v>6.0142154182613448E-2</v>
      </c>
      <c r="F16" s="54">
        <f t="shared" si="1"/>
        <v>6.6654785243272133E-2</v>
      </c>
      <c r="G16" s="54">
        <f t="shared" si="2"/>
        <v>0.10713951529896135</v>
      </c>
      <c r="H16" s="54">
        <f t="shared" si="3"/>
        <v>0.12988261138189056</v>
      </c>
      <c r="I16" s="54">
        <f t="shared" si="4"/>
        <v>0.12604247748248637</v>
      </c>
      <c r="J16" s="54">
        <f t="shared" ref="J16:K16" si="7">J9/$J$12</f>
        <v>0.12490911734768068</v>
      </c>
      <c r="K16" s="54">
        <f t="shared" si="7"/>
        <v>0.14381270903010032</v>
      </c>
    </row>
    <row r="17" spans="1:15" ht="15" x14ac:dyDescent="0.2">
      <c r="A17" s="21" t="s">
        <v>67</v>
      </c>
      <c r="B17" s="20"/>
      <c r="C17" s="54"/>
      <c r="D17" s="54"/>
      <c r="E17" s="31"/>
      <c r="F17" s="31"/>
      <c r="G17" s="31"/>
      <c r="H17" s="54"/>
      <c r="I17" s="54">
        <f t="shared" si="4"/>
        <v>7.1055265206271548E-2</v>
      </c>
      <c r="J17" s="54">
        <f t="shared" ref="J17:K17" si="8">J10/$J$12</f>
        <v>7.0524938199796425E-2</v>
      </c>
      <c r="K17" s="54">
        <f t="shared" si="8"/>
        <v>7.6002132712907775E-2</v>
      </c>
      <c r="L17" s="3"/>
      <c r="M17" s="3"/>
      <c r="N17" s="3"/>
      <c r="O17" s="3"/>
    </row>
    <row r="18" spans="1:15" ht="15" x14ac:dyDescent="0.2">
      <c r="A18" s="21" t="s">
        <v>68</v>
      </c>
      <c r="B18" s="20"/>
      <c r="C18" s="54">
        <v>0.18</v>
      </c>
      <c r="D18" s="54">
        <v>0.25</v>
      </c>
      <c r="E18" s="54">
        <f>E11/$E$12</f>
        <v>9.7047566976489877E-2</v>
      </c>
      <c r="F18" s="54">
        <f>F11/$F$12</f>
        <v>9.9269292461236863E-2</v>
      </c>
      <c r="G18" s="54">
        <f>G11/$G$12</f>
        <v>9.0109478806026003E-2</v>
      </c>
      <c r="H18" s="54">
        <f>H11/$H$12</f>
        <v>0.10709137090684423</v>
      </c>
      <c r="I18" s="54">
        <f t="shared" si="4"/>
        <v>3.4471255420882911E-2</v>
      </c>
      <c r="J18" s="54">
        <f t="shared" ref="J18:K18" si="9">J11/$J$12</f>
        <v>3.7952595608550244E-2</v>
      </c>
      <c r="K18" s="54">
        <f t="shared" si="9"/>
        <v>4.3429790121661579E-2</v>
      </c>
      <c r="L18" s="3"/>
      <c r="M18" s="3"/>
      <c r="N18" s="3"/>
      <c r="O18" s="3"/>
    </row>
    <row r="19" spans="1:15" ht="15" x14ac:dyDescent="0.2">
      <c r="A19" s="21"/>
      <c r="B19" s="20"/>
      <c r="C19" s="20"/>
      <c r="D19" s="20"/>
      <c r="E19" s="31"/>
      <c r="F19" s="31"/>
      <c r="G19" s="31"/>
      <c r="H19" s="31"/>
      <c r="I19" s="31"/>
      <c r="J19" s="31"/>
      <c r="K19" s="31"/>
      <c r="L19" s="3"/>
      <c r="M19" s="3"/>
      <c r="N19" s="3"/>
      <c r="O19" s="3"/>
    </row>
    <row r="20" spans="1:15" ht="15" x14ac:dyDescent="0.2">
      <c r="A20" s="21" t="s">
        <v>15</v>
      </c>
      <c r="B20" s="20"/>
      <c r="C20" s="20"/>
      <c r="D20" s="21">
        <v>6</v>
      </c>
      <c r="E20" s="21">
        <v>7</v>
      </c>
      <c r="F20" s="21">
        <v>9</v>
      </c>
      <c r="G20" s="21">
        <v>11</v>
      </c>
      <c r="H20" s="21">
        <v>15</v>
      </c>
      <c r="I20" s="21">
        <v>18</v>
      </c>
      <c r="J20" s="21">
        <v>20</v>
      </c>
      <c r="K20" s="21">
        <v>24</v>
      </c>
    </row>
    <row r="21" spans="1:15" ht="15" x14ac:dyDescent="0.2">
      <c r="A21" s="21" t="s">
        <v>69</v>
      </c>
      <c r="B21" s="20"/>
      <c r="C21" s="20"/>
      <c r="D21" s="31"/>
      <c r="E21" s="25"/>
      <c r="F21" s="25"/>
      <c r="G21" s="25"/>
      <c r="H21" s="25"/>
      <c r="I21" s="25"/>
      <c r="J21" s="25"/>
      <c r="K21" s="57">
        <v>1700</v>
      </c>
      <c r="L21" s="3"/>
      <c r="M21" s="3"/>
      <c r="N21" s="3"/>
      <c r="O21" s="3"/>
    </row>
    <row r="22" spans="1:15" ht="15" x14ac:dyDescent="0.2">
      <c r="A22" s="58" t="s">
        <v>70</v>
      </c>
      <c r="B22" s="20"/>
      <c r="C22" s="20"/>
      <c r="D22" s="31"/>
      <c r="E22" s="25">
        <f t="shared" ref="E22:K22" si="10">E12/E20</f>
        <v>52.25714285714286</v>
      </c>
      <c r="F22" s="25">
        <f t="shared" si="10"/>
        <v>62.344444444444449</v>
      </c>
      <c r="G22" s="25">
        <f t="shared" si="10"/>
        <v>97.154545454545456</v>
      </c>
      <c r="H22" s="25">
        <f t="shared" si="10"/>
        <v>97.11333333333333</v>
      </c>
      <c r="I22" s="25">
        <f t="shared" si="10"/>
        <v>99.922222222222217</v>
      </c>
      <c r="J22" s="25">
        <f t="shared" si="10"/>
        <v>103.155</v>
      </c>
      <c r="K22" s="25">
        <f t="shared" si="10"/>
        <v>85.962499999999991</v>
      </c>
      <c r="L22" s="3"/>
      <c r="M22" s="3"/>
      <c r="N22" s="3"/>
      <c r="O22" s="3"/>
    </row>
    <row r="23" spans="1:15" ht="15" x14ac:dyDescent="0.2">
      <c r="A23" s="58" t="s">
        <v>71</v>
      </c>
      <c r="B23" s="20"/>
      <c r="C23" s="20"/>
      <c r="D23" s="31"/>
      <c r="E23" s="25"/>
      <c r="F23" s="25"/>
      <c r="G23" s="25"/>
      <c r="H23" s="25"/>
      <c r="I23" s="25"/>
      <c r="J23" s="25"/>
      <c r="K23" s="59">
        <f>K12/K21</f>
        <v>1.2135882352941176</v>
      </c>
      <c r="L23" s="3"/>
      <c r="M23" s="3"/>
      <c r="N23" s="3"/>
      <c r="O23" s="3"/>
    </row>
    <row r="24" spans="1:15" ht="15" x14ac:dyDescent="0.2">
      <c r="A24" s="58" t="s">
        <v>72</v>
      </c>
      <c r="B24" s="20"/>
      <c r="C24" s="20"/>
      <c r="D24" s="31"/>
      <c r="E24" s="31">
        <f>E20/D20-1</f>
        <v>0.16666666666666674</v>
      </c>
      <c r="F24" s="31">
        <f>F20/E20-1</f>
        <v>0.28571428571428581</v>
      </c>
      <c r="G24" s="31">
        <f>G20/F20-1</f>
        <v>0.22222222222222232</v>
      </c>
      <c r="H24" s="31">
        <f>H20/G20-1</f>
        <v>0.36363636363636354</v>
      </c>
      <c r="I24" s="31">
        <f>I20/H20-1</f>
        <v>0.19999999999999996</v>
      </c>
      <c r="J24" s="31">
        <f>J20/I20-1</f>
        <v>0.11111111111111116</v>
      </c>
      <c r="K24" s="31">
        <f>K20/J20-1</f>
        <v>0.19999999999999996</v>
      </c>
      <c r="L24" s="3"/>
      <c r="M24" s="3"/>
      <c r="N24" s="3"/>
      <c r="O24" s="3"/>
    </row>
    <row r="25" spans="1:15" ht="15" x14ac:dyDescent="0.2">
      <c r="A25" s="21"/>
      <c r="B25" s="20"/>
      <c r="C25" s="20"/>
      <c r="D25" s="31"/>
      <c r="E25" s="31"/>
      <c r="F25" s="31"/>
      <c r="G25" s="31"/>
      <c r="H25" s="31"/>
      <c r="I25" s="31"/>
      <c r="J25" s="31"/>
      <c r="K25" s="31"/>
      <c r="L25" s="3"/>
      <c r="M25" s="3"/>
      <c r="N25" s="3"/>
      <c r="O25" s="3"/>
    </row>
    <row r="26" spans="1:15" ht="12.75" x14ac:dyDescent="0.2">
      <c r="A26" s="1"/>
    </row>
    <row r="27" spans="1:15" ht="12.75" x14ac:dyDescent="0.2">
      <c r="A27" s="1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ht="12.75" x14ac:dyDescent="0.2">
      <c r="A28" s="1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ht="12.75" x14ac:dyDescent="0.2">
      <c r="A29" s="1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AO74"/>
  <sheetViews>
    <sheetView showGridLines="0" zoomScale="115" zoomScaleNormal="11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18" sqref="A18"/>
    </sheetView>
  </sheetViews>
  <sheetFormatPr defaultColWidth="12.5703125" defaultRowHeight="15.75" customHeight="1" x14ac:dyDescent="0.2"/>
  <cols>
    <col min="1" max="1" width="42.42578125" bestFit="1" customWidth="1"/>
    <col min="9" max="10" width="13.7109375" customWidth="1"/>
  </cols>
  <sheetData>
    <row r="2" spans="1:41" x14ac:dyDescent="0.2">
      <c r="A2" s="21" t="s">
        <v>73</v>
      </c>
      <c r="B2" s="21"/>
      <c r="C2" s="21" t="s">
        <v>74</v>
      </c>
      <c r="D2" s="21" t="s">
        <v>75</v>
      </c>
      <c r="E2" s="21" t="s">
        <v>76</v>
      </c>
      <c r="F2" s="21" t="s">
        <v>77</v>
      </c>
      <c r="G2" s="21" t="s">
        <v>78</v>
      </c>
      <c r="H2" s="21" t="s">
        <v>79</v>
      </c>
      <c r="I2" s="21" t="s">
        <v>80</v>
      </c>
      <c r="J2" s="21" t="s">
        <v>81</v>
      </c>
      <c r="K2" s="21" t="s">
        <v>82</v>
      </c>
      <c r="L2" s="21" t="s">
        <v>83</v>
      </c>
      <c r="M2" s="21" t="s">
        <v>84</v>
      </c>
      <c r="N2" s="21" t="s">
        <v>85</v>
      </c>
      <c r="O2" s="21" t="s">
        <v>20</v>
      </c>
    </row>
    <row r="3" spans="1:41" x14ac:dyDescent="0.2">
      <c r="A3" s="21"/>
      <c r="B3" s="20"/>
      <c r="C3" s="20"/>
      <c r="D3" s="20"/>
      <c r="E3" s="20"/>
      <c r="F3" s="20"/>
      <c r="G3" s="20"/>
      <c r="H3" s="20"/>
      <c r="I3" s="22"/>
      <c r="J3" s="22"/>
      <c r="K3" s="22"/>
      <c r="L3" s="23"/>
      <c r="M3" s="23"/>
      <c r="N3" s="23"/>
      <c r="O3" s="20"/>
    </row>
    <row r="4" spans="1:41" x14ac:dyDescent="0.2">
      <c r="A4" s="25" t="s">
        <v>86</v>
      </c>
      <c r="B4" s="25"/>
      <c r="C4" s="25">
        <v>360104</v>
      </c>
      <c r="D4" s="25">
        <v>371800</v>
      </c>
      <c r="E4" s="25">
        <v>385813</v>
      </c>
      <c r="F4" s="25">
        <v>405557</v>
      </c>
      <c r="G4" s="25">
        <v>431338</v>
      </c>
      <c r="H4" s="25">
        <v>438071</v>
      </c>
      <c r="I4" s="25">
        <v>446878</v>
      </c>
      <c r="J4" s="25">
        <v>459447</v>
      </c>
      <c r="K4" s="25">
        <v>448655</v>
      </c>
      <c r="L4" s="25">
        <v>453705</v>
      </c>
      <c r="M4" s="25">
        <v>431666</v>
      </c>
      <c r="N4" s="25">
        <v>438553</v>
      </c>
      <c r="O4" s="25">
        <v>434883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pans="1:41" x14ac:dyDescent="0.2">
      <c r="A5" s="25" t="s">
        <v>87</v>
      </c>
      <c r="B5" s="25"/>
      <c r="C5" s="25">
        <v>69470</v>
      </c>
      <c r="D5" s="25">
        <v>69275</v>
      </c>
      <c r="E5" s="25">
        <v>66829</v>
      </c>
      <c r="F5" s="25">
        <v>69753</v>
      </c>
      <c r="G5" s="25">
        <v>70113</v>
      </c>
      <c r="H5" s="25">
        <v>70339</v>
      </c>
      <c r="I5" s="25">
        <v>72501</v>
      </c>
      <c r="J5" s="25">
        <v>74398</v>
      </c>
      <c r="K5" s="25">
        <v>72289</v>
      </c>
      <c r="L5" s="25">
        <v>70564</v>
      </c>
      <c r="M5" s="25">
        <v>75457</v>
      </c>
      <c r="N5" s="25">
        <v>75651</v>
      </c>
      <c r="O5" s="25">
        <v>78156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</row>
    <row r="6" spans="1:41" x14ac:dyDescent="0.2">
      <c r="A6" s="25" t="s">
        <v>88</v>
      </c>
      <c r="B6" s="25"/>
      <c r="C6" s="25"/>
      <c r="D6" s="25"/>
      <c r="E6" s="25"/>
      <c r="F6" s="25"/>
      <c r="G6" s="25"/>
      <c r="H6" s="25"/>
      <c r="I6" s="25">
        <v>59650</v>
      </c>
      <c r="J6" s="25">
        <v>91408</v>
      </c>
      <c r="K6" s="25"/>
      <c r="L6" s="25"/>
      <c r="M6" s="25">
        <v>0</v>
      </c>
      <c r="N6" s="25">
        <v>51667</v>
      </c>
      <c r="O6" s="25">
        <v>0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</row>
    <row r="7" spans="1:41" x14ac:dyDescent="0.2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</row>
    <row r="8" spans="1:41" ht="15.75" customHeight="1" x14ac:dyDescent="0.25">
      <c r="A8" s="27" t="s">
        <v>89</v>
      </c>
      <c r="B8" s="28"/>
      <c r="C8" s="28">
        <f t="shared" ref="C8:O8" si="0">SUM(C4:C6)</f>
        <v>429574</v>
      </c>
      <c r="D8" s="28">
        <f t="shared" si="0"/>
        <v>441075</v>
      </c>
      <c r="E8" s="28">
        <f t="shared" si="0"/>
        <v>452642</v>
      </c>
      <c r="F8" s="28">
        <f t="shared" si="0"/>
        <v>475310</v>
      </c>
      <c r="G8" s="28">
        <f t="shared" si="0"/>
        <v>501451</v>
      </c>
      <c r="H8" s="28">
        <f t="shared" si="0"/>
        <v>508410</v>
      </c>
      <c r="I8" s="28">
        <f t="shared" si="0"/>
        <v>579029</v>
      </c>
      <c r="J8" s="28">
        <f t="shared" si="0"/>
        <v>625253</v>
      </c>
      <c r="K8" s="28">
        <f t="shared" si="0"/>
        <v>520944</v>
      </c>
      <c r="L8" s="28">
        <f t="shared" si="0"/>
        <v>524269</v>
      </c>
      <c r="M8" s="28">
        <f t="shared" si="0"/>
        <v>507123</v>
      </c>
      <c r="N8" s="28">
        <f t="shared" si="0"/>
        <v>565871</v>
      </c>
      <c r="O8" s="28">
        <f t="shared" si="0"/>
        <v>513039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</row>
    <row r="9" spans="1:41" x14ac:dyDescent="0.2">
      <c r="A9" s="30" t="s">
        <v>90</v>
      </c>
      <c r="B9" s="25"/>
      <c r="C9" s="25"/>
      <c r="D9" s="31"/>
      <c r="E9" s="31"/>
      <c r="F9" s="31"/>
      <c r="G9" s="31">
        <f t="shared" ref="G9:O9" si="1">G8/C8-1</f>
        <v>0.16732157905273604</v>
      </c>
      <c r="H9" s="31">
        <f t="shared" si="1"/>
        <v>0.15266111205577282</v>
      </c>
      <c r="I9" s="31">
        <f t="shared" si="1"/>
        <v>0.27922066445446947</v>
      </c>
      <c r="J9" s="31">
        <f t="shared" si="1"/>
        <v>0.31546359218194442</v>
      </c>
      <c r="K9" s="31">
        <f t="shared" si="1"/>
        <v>3.8873190002612468E-2</v>
      </c>
      <c r="L9" s="31">
        <f t="shared" si="1"/>
        <v>3.1193328219350613E-2</v>
      </c>
      <c r="M9" s="31">
        <f t="shared" si="1"/>
        <v>-0.12418376281671561</v>
      </c>
      <c r="N9" s="31">
        <f t="shared" si="1"/>
        <v>-9.4972755028764344E-2</v>
      </c>
      <c r="O9" s="31">
        <f t="shared" si="1"/>
        <v>-1.5174375748640889E-2</v>
      </c>
      <c r="P9" s="6"/>
      <c r="Q9" s="6"/>
      <c r="R9" s="6"/>
      <c r="S9" s="6"/>
      <c r="T9" s="6"/>
      <c r="U9" s="6"/>
      <c r="V9" s="6"/>
      <c r="W9" s="6"/>
      <c r="X9" s="6"/>
      <c r="Y9" s="6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</row>
    <row r="10" spans="1:41" x14ac:dyDescent="0.2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</row>
    <row r="11" spans="1:41" x14ac:dyDescent="0.2">
      <c r="A11" s="25" t="s">
        <v>91</v>
      </c>
      <c r="B11" s="25"/>
      <c r="C11" s="25">
        <v>82933</v>
      </c>
      <c r="D11" s="25">
        <v>87470</v>
      </c>
      <c r="E11" s="25">
        <v>91037</v>
      </c>
      <c r="F11" s="25">
        <v>93860</v>
      </c>
      <c r="G11" s="25">
        <v>106771</v>
      </c>
      <c r="H11" s="25">
        <v>111425</v>
      </c>
      <c r="I11" s="25">
        <v>110593</v>
      </c>
      <c r="J11" s="25">
        <v>109046</v>
      </c>
      <c r="K11" s="25">
        <v>119949</v>
      </c>
      <c r="L11" s="25">
        <v>123560</v>
      </c>
      <c r="M11" s="25">
        <v>117546</v>
      </c>
      <c r="N11" s="25">
        <v>115712</v>
      </c>
      <c r="O11" s="25">
        <v>120296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</row>
    <row r="12" spans="1:41" x14ac:dyDescent="0.2">
      <c r="A12" s="25" t="s">
        <v>92</v>
      </c>
      <c r="B12" s="25"/>
      <c r="C12" s="25">
        <v>28678</v>
      </c>
      <c r="D12" s="25">
        <v>30178</v>
      </c>
      <c r="E12" s="25">
        <v>31462</v>
      </c>
      <c r="F12" s="25">
        <v>34365</v>
      </c>
      <c r="G12" s="25">
        <v>34175</v>
      </c>
      <c r="H12" s="25">
        <v>34638</v>
      </c>
      <c r="I12" s="25">
        <v>36078</v>
      </c>
      <c r="J12" s="25">
        <v>37331</v>
      </c>
      <c r="K12" s="25">
        <v>38541</v>
      </c>
      <c r="L12" s="25">
        <v>38884</v>
      </c>
      <c r="M12" s="25">
        <v>40272</v>
      </c>
      <c r="N12" s="25">
        <v>42337</v>
      </c>
      <c r="O12" s="25">
        <v>42708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</row>
    <row r="13" spans="1:41" x14ac:dyDescent="0.2">
      <c r="A13" s="25" t="s">
        <v>93</v>
      </c>
      <c r="B13" s="25"/>
      <c r="C13" s="25">
        <v>46483</v>
      </c>
      <c r="D13" s="25">
        <v>41912</v>
      </c>
      <c r="E13" s="25">
        <v>43006</v>
      </c>
      <c r="F13" s="25">
        <v>44487</v>
      </c>
      <c r="G13" s="25">
        <v>48894</v>
      </c>
      <c r="H13" s="25">
        <v>51218</v>
      </c>
      <c r="I13" s="25">
        <v>53179</v>
      </c>
      <c r="J13" s="25">
        <v>61242</v>
      </c>
      <c r="K13" s="25">
        <v>59019</v>
      </c>
      <c r="L13" s="25">
        <v>55442</v>
      </c>
      <c r="M13" s="25">
        <v>52690</v>
      </c>
      <c r="N13" s="25">
        <v>56949</v>
      </c>
      <c r="O13" s="25">
        <v>57423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</row>
    <row r="14" spans="1:41" x14ac:dyDescent="0.2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</row>
    <row r="15" spans="1:41" x14ac:dyDescent="0.2">
      <c r="A15" s="27" t="s">
        <v>94</v>
      </c>
      <c r="B15" s="25"/>
      <c r="C15" s="25">
        <f t="shared" ref="C15:O15" si="2">C8-C11-C12-C13</f>
        <v>271480</v>
      </c>
      <c r="D15" s="25">
        <f t="shared" si="2"/>
        <v>281515</v>
      </c>
      <c r="E15" s="25">
        <f t="shared" si="2"/>
        <v>287137</v>
      </c>
      <c r="F15" s="25">
        <f t="shared" si="2"/>
        <v>302598</v>
      </c>
      <c r="G15" s="25">
        <f t="shared" si="2"/>
        <v>311611</v>
      </c>
      <c r="H15" s="25">
        <f t="shared" si="2"/>
        <v>311129</v>
      </c>
      <c r="I15" s="25">
        <f t="shared" si="2"/>
        <v>379179</v>
      </c>
      <c r="J15" s="25">
        <f t="shared" si="2"/>
        <v>417634</v>
      </c>
      <c r="K15" s="25">
        <f t="shared" si="2"/>
        <v>303435</v>
      </c>
      <c r="L15" s="25">
        <f t="shared" si="2"/>
        <v>306383</v>
      </c>
      <c r="M15" s="25">
        <f t="shared" si="2"/>
        <v>296615</v>
      </c>
      <c r="N15" s="25">
        <f t="shared" si="2"/>
        <v>350873</v>
      </c>
      <c r="O15" s="25">
        <f t="shared" si="2"/>
        <v>292612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</row>
    <row r="16" spans="1:41" x14ac:dyDescent="0.2">
      <c r="A16" s="27" t="s">
        <v>95</v>
      </c>
      <c r="B16" s="25"/>
      <c r="C16" s="35">
        <f t="shared" ref="C16:O16" si="3">C15+C12</f>
        <v>300158</v>
      </c>
      <c r="D16" s="35">
        <f t="shared" si="3"/>
        <v>311693</v>
      </c>
      <c r="E16" s="35">
        <f t="shared" si="3"/>
        <v>318599</v>
      </c>
      <c r="F16" s="35">
        <f t="shared" si="3"/>
        <v>336963</v>
      </c>
      <c r="G16" s="35">
        <f t="shared" si="3"/>
        <v>345786</v>
      </c>
      <c r="H16" s="35">
        <f t="shared" si="3"/>
        <v>345767</v>
      </c>
      <c r="I16" s="35">
        <f t="shared" si="3"/>
        <v>415257</v>
      </c>
      <c r="J16" s="35">
        <f t="shared" si="3"/>
        <v>454965</v>
      </c>
      <c r="K16" s="35">
        <f t="shared" si="3"/>
        <v>341976</v>
      </c>
      <c r="L16" s="35">
        <f t="shared" si="3"/>
        <v>345267</v>
      </c>
      <c r="M16" s="35">
        <f t="shared" si="3"/>
        <v>336887</v>
      </c>
      <c r="N16" s="35">
        <f t="shared" si="3"/>
        <v>393210</v>
      </c>
      <c r="O16" s="35">
        <f t="shared" si="3"/>
        <v>335320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</row>
    <row r="17" spans="1:41" x14ac:dyDescent="0.2">
      <c r="A17" s="27" t="s">
        <v>96</v>
      </c>
      <c r="B17" s="25"/>
      <c r="C17" s="35">
        <f t="shared" ref="C17:O17" si="4">C19-C15</f>
        <v>-1425</v>
      </c>
      <c r="D17" s="35">
        <f t="shared" si="4"/>
        <v>1493</v>
      </c>
      <c r="E17" s="35">
        <f t="shared" si="4"/>
        <v>5360</v>
      </c>
      <c r="F17" s="35">
        <f t="shared" si="4"/>
        <v>449</v>
      </c>
      <c r="G17" s="35">
        <f t="shared" si="4"/>
        <v>5877</v>
      </c>
      <c r="H17" s="35">
        <f t="shared" si="4"/>
        <v>6792</v>
      </c>
      <c r="I17" s="35">
        <f t="shared" si="4"/>
        <v>-1009</v>
      </c>
      <c r="J17" s="35">
        <f t="shared" si="4"/>
        <v>7711</v>
      </c>
      <c r="K17" s="35">
        <f t="shared" si="4"/>
        <v>-1246</v>
      </c>
      <c r="L17" s="35">
        <f t="shared" si="4"/>
        <v>-11879</v>
      </c>
      <c r="M17" s="35">
        <f t="shared" si="4"/>
        <v>776</v>
      </c>
      <c r="N17" s="35">
        <f t="shared" si="4"/>
        <v>0</v>
      </c>
      <c r="O17" s="35">
        <f t="shared" si="4"/>
        <v>7481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1:41" x14ac:dyDescent="0.2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1:41" x14ac:dyDescent="0.2">
      <c r="A19" s="25" t="s">
        <v>97</v>
      </c>
      <c r="B19" s="35"/>
      <c r="C19" s="35">
        <v>270055</v>
      </c>
      <c r="D19" s="35">
        <v>283008</v>
      </c>
      <c r="E19" s="35">
        <v>292497</v>
      </c>
      <c r="F19" s="35">
        <v>303047</v>
      </c>
      <c r="G19" s="35">
        <v>317488</v>
      </c>
      <c r="H19" s="35">
        <v>317921</v>
      </c>
      <c r="I19" s="35">
        <v>378170</v>
      </c>
      <c r="J19" s="35">
        <v>425345</v>
      </c>
      <c r="K19" s="35">
        <v>302189</v>
      </c>
      <c r="L19" s="35">
        <v>294504</v>
      </c>
      <c r="M19" s="35">
        <v>297391</v>
      </c>
      <c r="N19" s="35">
        <v>350873</v>
      </c>
      <c r="O19" s="25">
        <v>300093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</row>
    <row r="20" spans="1:41" x14ac:dyDescent="0.2">
      <c r="A20" s="27" t="s">
        <v>98</v>
      </c>
      <c r="B20" s="35"/>
      <c r="C20" s="35">
        <f t="shared" ref="C20:O20" si="5">C22-C19</f>
        <v>-18905</v>
      </c>
      <c r="D20" s="35">
        <f t="shared" si="5"/>
        <v>-18919</v>
      </c>
      <c r="E20" s="35">
        <f t="shared" si="5"/>
        <v>-19737</v>
      </c>
      <c r="F20" s="35">
        <f t="shared" si="5"/>
        <v>-20188</v>
      </c>
      <c r="G20" s="35">
        <f t="shared" si="5"/>
        <v>-48331</v>
      </c>
      <c r="H20" s="35">
        <f t="shared" si="5"/>
        <v>-48778</v>
      </c>
      <c r="I20" s="35">
        <f t="shared" si="5"/>
        <v>-49559</v>
      </c>
      <c r="J20" s="35">
        <f t="shared" si="5"/>
        <v>-48241</v>
      </c>
      <c r="K20" s="35">
        <f t="shared" si="5"/>
        <v>-47520</v>
      </c>
      <c r="L20" s="35">
        <f t="shared" si="5"/>
        <v>-46187</v>
      </c>
      <c r="M20" s="35">
        <f t="shared" si="5"/>
        <v>-45062</v>
      </c>
      <c r="N20" s="35">
        <f t="shared" si="5"/>
        <v>-44092</v>
      </c>
      <c r="O20" s="35">
        <f t="shared" si="5"/>
        <v>-48161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</row>
    <row r="21" spans="1:41" x14ac:dyDescent="0.2">
      <c r="A21" s="2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25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</row>
    <row r="22" spans="1:41" x14ac:dyDescent="0.2">
      <c r="A22" s="25" t="s">
        <v>99</v>
      </c>
      <c r="B22" s="35"/>
      <c r="C22" s="35">
        <v>251150</v>
      </c>
      <c r="D22" s="35">
        <v>264089</v>
      </c>
      <c r="E22" s="35">
        <v>272760</v>
      </c>
      <c r="F22" s="35">
        <v>282859</v>
      </c>
      <c r="G22" s="35">
        <v>269157</v>
      </c>
      <c r="H22" s="35">
        <v>269143</v>
      </c>
      <c r="I22" s="35">
        <v>328611</v>
      </c>
      <c r="J22" s="35">
        <v>377104</v>
      </c>
      <c r="K22" s="35">
        <v>254669</v>
      </c>
      <c r="L22" s="35">
        <v>248317</v>
      </c>
      <c r="M22" s="35">
        <v>252329</v>
      </c>
      <c r="N22" s="35">
        <v>306781</v>
      </c>
      <c r="O22" s="25">
        <v>251932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</row>
    <row r="23" spans="1:41" x14ac:dyDescent="0.2">
      <c r="A23" s="2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25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</row>
    <row r="24" spans="1:41" x14ac:dyDescent="0.2">
      <c r="A24" s="25" t="s">
        <v>100</v>
      </c>
      <c r="B24" s="35"/>
      <c r="C24" s="37">
        <f t="shared" ref="C24:O24" si="6">C4/C8</f>
        <v>0.83828164646836167</v>
      </c>
      <c r="D24" s="37">
        <f t="shared" si="6"/>
        <v>0.84294054299155474</v>
      </c>
      <c r="E24" s="37">
        <f t="shared" si="6"/>
        <v>0.85235793408477345</v>
      </c>
      <c r="F24" s="37">
        <f t="shared" si="6"/>
        <v>0.85324735435820831</v>
      </c>
      <c r="G24" s="37">
        <f t="shared" si="6"/>
        <v>0.86017975834129357</v>
      </c>
      <c r="H24" s="37">
        <f t="shared" si="6"/>
        <v>0.86164906276430442</v>
      </c>
      <c r="I24" s="37">
        <f t="shared" si="6"/>
        <v>0.77177136205613195</v>
      </c>
      <c r="J24" s="37">
        <f t="shared" si="6"/>
        <v>0.73481774577650971</v>
      </c>
      <c r="K24" s="37">
        <f t="shared" si="6"/>
        <v>0.86123460487115699</v>
      </c>
      <c r="L24" s="37">
        <f t="shared" si="6"/>
        <v>0.86540497340105937</v>
      </c>
      <c r="M24" s="37">
        <f t="shared" si="6"/>
        <v>0.85120572326634758</v>
      </c>
      <c r="N24" s="37">
        <f t="shared" si="6"/>
        <v>0.77500525738198278</v>
      </c>
      <c r="O24" s="37">
        <f t="shared" si="6"/>
        <v>0.8476607041569939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</row>
    <row r="25" spans="1:41" x14ac:dyDescent="0.2">
      <c r="A25" s="25" t="s">
        <v>101</v>
      </c>
      <c r="B25" s="35"/>
      <c r="C25" s="37">
        <f t="shared" ref="C25:O25" si="7">C5/C8</f>
        <v>0.16171835353163833</v>
      </c>
      <c r="D25" s="37">
        <f t="shared" si="7"/>
        <v>0.15705945700844529</v>
      </c>
      <c r="E25" s="37">
        <f t="shared" si="7"/>
        <v>0.14764206591522661</v>
      </c>
      <c r="F25" s="37">
        <f t="shared" si="7"/>
        <v>0.14675264564179166</v>
      </c>
      <c r="G25" s="37">
        <f t="shared" si="7"/>
        <v>0.13982024165870643</v>
      </c>
      <c r="H25" s="37">
        <f t="shared" si="7"/>
        <v>0.13835093723569561</v>
      </c>
      <c r="I25" s="37">
        <f t="shared" si="7"/>
        <v>0.12521134520032676</v>
      </c>
      <c r="J25" s="37">
        <f t="shared" si="7"/>
        <v>0.1189886334011992</v>
      </c>
      <c r="K25" s="37">
        <f t="shared" si="7"/>
        <v>0.13876539512884303</v>
      </c>
      <c r="L25" s="37">
        <f t="shared" si="7"/>
        <v>0.13459502659894063</v>
      </c>
      <c r="M25" s="37">
        <f t="shared" si="7"/>
        <v>0.14879427673365239</v>
      </c>
      <c r="N25" s="37">
        <f t="shared" si="7"/>
        <v>0.13368948046462886</v>
      </c>
      <c r="O25" s="37">
        <f t="shared" si="7"/>
        <v>0.1523392958430061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</row>
    <row r="26" spans="1:41" x14ac:dyDescent="0.2">
      <c r="A26" s="25" t="s">
        <v>102</v>
      </c>
      <c r="B26" s="35"/>
      <c r="C26" s="37">
        <f t="shared" ref="C26:O26" si="8">C15/C8</f>
        <v>0.6319749333060195</v>
      </c>
      <c r="D26" s="37">
        <f t="shared" si="8"/>
        <v>0.63824746358329087</v>
      </c>
      <c r="E26" s="37">
        <f t="shared" si="8"/>
        <v>0.63435783687770908</v>
      </c>
      <c r="F26" s="37">
        <f t="shared" si="8"/>
        <v>0.63663293429551238</v>
      </c>
      <c r="G26" s="37">
        <f t="shared" si="8"/>
        <v>0.62141864309773043</v>
      </c>
      <c r="H26" s="37">
        <f t="shared" si="8"/>
        <v>0.61196475285694618</v>
      </c>
      <c r="I26" s="37">
        <f t="shared" si="8"/>
        <v>0.65485321115177308</v>
      </c>
      <c r="J26" s="37">
        <f t="shared" si="8"/>
        <v>0.667944016262217</v>
      </c>
      <c r="K26" s="37">
        <f t="shared" si="8"/>
        <v>0.58247143646917898</v>
      </c>
      <c r="L26" s="37">
        <f t="shared" si="8"/>
        <v>0.58440037461684746</v>
      </c>
      <c r="M26" s="37">
        <f t="shared" si="8"/>
        <v>0.58489754950968498</v>
      </c>
      <c r="N26" s="37">
        <f t="shared" si="8"/>
        <v>0.62005828183455236</v>
      </c>
      <c r="O26" s="37">
        <f t="shared" si="8"/>
        <v>0.57035040221113797</v>
      </c>
      <c r="P26" s="8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</row>
    <row r="27" spans="1:41" x14ac:dyDescent="0.2">
      <c r="A27" s="21" t="s">
        <v>103</v>
      </c>
      <c r="B27" s="37"/>
      <c r="C27" s="37">
        <f t="shared" ref="C27:O27" si="9">C16/C8</f>
        <v>0.69873409470778025</v>
      </c>
      <c r="D27" s="37">
        <f t="shared" si="9"/>
        <v>0.70666666666666667</v>
      </c>
      <c r="E27" s="37">
        <f t="shared" si="9"/>
        <v>0.70386530635690014</v>
      </c>
      <c r="F27" s="37">
        <f t="shared" si="9"/>
        <v>0.70893311733395048</v>
      </c>
      <c r="G27" s="37">
        <f t="shared" si="9"/>
        <v>0.68957086534875789</v>
      </c>
      <c r="H27" s="37">
        <f t="shared" si="9"/>
        <v>0.68009480537361577</v>
      </c>
      <c r="I27" s="37">
        <f t="shared" si="9"/>
        <v>0.71716097121214994</v>
      </c>
      <c r="J27" s="37">
        <f t="shared" si="9"/>
        <v>0.72764944750365057</v>
      </c>
      <c r="K27" s="37">
        <f t="shared" si="9"/>
        <v>0.65645443656131941</v>
      </c>
      <c r="L27" s="37">
        <f t="shared" si="9"/>
        <v>0.65856840667672512</v>
      </c>
      <c r="M27" s="37">
        <f t="shared" si="9"/>
        <v>0.66431023637263542</v>
      </c>
      <c r="N27" s="37">
        <f t="shared" si="9"/>
        <v>0.69487568721493065</v>
      </c>
      <c r="O27" s="37">
        <f t="shared" si="9"/>
        <v>0.6535955356220482</v>
      </c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41" x14ac:dyDescent="0.2">
      <c r="A28" s="21" t="s">
        <v>104</v>
      </c>
      <c r="B28" s="37"/>
      <c r="C28" s="37">
        <f t="shared" ref="C28:O28" si="10">C22/C8</f>
        <v>0.5846489778245425</v>
      </c>
      <c r="D28" s="37">
        <f t="shared" si="10"/>
        <v>0.5987394434053166</v>
      </c>
      <c r="E28" s="37">
        <f t="shared" si="10"/>
        <v>0.60259542861687598</v>
      </c>
      <c r="F28" s="37">
        <f t="shared" si="10"/>
        <v>0.59510424775409732</v>
      </c>
      <c r="G28" s="37">
        <f t="shared" si="10"/>
        <v>0.53675633312128201</v>
      </c>
      <c r="H28" s="37">
        <f t="shared" si="10"/>
        <v>0.52938179815503239</v>
      </c>
      <c r="I28" s="37">
        <f t="shared" si="10"/>
        <v>0.5675207977493355</v>
      </c>
      <c r="J28" s="37">
        <f t="shared" si="10"/>
        <v>0.60312225611072634</v>
      </c>
      <c r="K28" s="37">
        <f t="shared" si="10"/>
        <v>0.48886060689824629</v>
      </c>
      <c r="L28" s="37">
        <f t="shared" si="10"/>
        <v>0.47364425514382885</v>
      </c>
      <c r="M28" s="37">
        <f t="shared" si="10"/>
        <v>0.49756962314862468</v>
      </c>
      <c r="N28" s="37">
        <f t="shared" si="10"/>
        <v>0.54213946288111603</v>
      </c>
      <c r="O28" s="37">
        <f t="shared" si="10"/>
        <v>0.49105818466042545</v>
      </c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41" x14ac:dyDescent="0.2">
      <c r="A29" s="21" t="s">
        <v>105</v>
      </c>
      <c r="B29" s="35"/>
      <c r="C29" s="37">
        <f t="shared" ref="C29:O29" si="11">-C20/C19</f>
        <v>7.0004258391809071E-2</v>
      </c>
      <c r="D29" s="37">
        <f t="shared" si="11"/>
        <v>6.6849700361827233E-2</v>
      </c>
      <c r="E29" s="37">
        <f t="shared" si="11"/>
        <v>6.7477615155027232E-2</v>
      </c>
      <c r="F29" s="37">
        <f t="shared" si="11"/>
        <v>6.661672941820905E-2</v>
      </c>
      <c r="G29" s="37">
        <f t="shared" si="11"/>
        <v>0.15222937559844782</v>
      </c>
      <c r="H29" s="37">
        <f t="shared" si="11"/>
        <v>0.15342805288106165</v>
      </c>
      <c r="I29" s="37">
        <f t="shared" si="11"/>
        <v>0.13104952799005737</v>
      </c>
      <c r="J29" s="37">
        <f t="shared" si="11"/>
        <v>0.11341616805181676</v>
      </c>
      <c r="K29" s="37">
        <f t="shared" si="11"/>
        <v>0.15725258033879461</v>
      </c>
      <c r="L29" s="37">
        <f t="shared" si="11"/>
        <v>0.15682978838997094</v>
      </c>
      <c r="M29" s="37">
        <f t="shared" si="11"/>
        <v>0.15152442407470301</v>
      </c>
      <c r="N29" s="37">
        <f t="shared" si="11"/>
        <v>0.12566370168123508</v>
      </c>
      <c r="O29" s="37">
        <f t="shared" si="11"/>
        <v>0.16048691572279261</v>
      </c>
      <c r="P29" s="9"/>
      <c r="Q29" s="9"/>
      <c r="R29" s="9"/>
      <c r="S29" s="9"/>
      <c r="T29" s="9"/>
      <c r="U29" s="9"/>
      <c r="V29" s="9"/>
      <c r="W29" s="9"/>
      <c r="X29" s="9"/>
      <c r="Y29" s="9"/>
    </row>
    <row r="30" spans="1:41" x14ac:dyDescent="0.2">
      <c r="A30" s="20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20"/>
    </row>
    <row r="31" spans="1:41" x14ac:dyDescent="0.2">
      <c r="A31" s="20"/>
      <c r="B31" s="35"/>
      <c r="C31" s="35"/>
      <c r="D31" s="35"/>
      <c r="E31" s="35"/>
      <c r="F31" s="35"/>
      <c r="G31" s="35"/>
      <c r="H31" s="35"/>
      <c r="I31" s="37"/>
      <c r="J31" s="35"/>
      <c r="K31" s="35"/>
      <c r="L31" s="35"/>
      <c r="M31" s="35"/>
      <c r="N31" s="35"/>
      <c r="O31" s="20"/>
    </row>
    <row r="32" spans="1:41" x14ac:dyDescent="0.2">
      <c r="A32" s="2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1"/>
      <c r="M32" s="41"/>
      <c r="N32" s="41"/>
      <c r="O32" s="25">
        <f>O22+42708+2200+8752+4013-1834-14964-19629-27575</f>
        <v>245603</v>
      </c>
    </row>
    <row r="33" spans="1:41" x14ac:dyDescent="0.2">
      <c r="A33" s="2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1"/>
      <c r="M33" s="41"/>
      <c r="N33" s="41"/>
      <c r="O33" s="31">
        <f>O32/O8</f>
        <v>0.47872189053853603</v>
      </c>
    </row>
    <row r="34" spans="1:41" x14ac:dyDescent="0.2">
      <c r="A34" s="2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1"/>
      <c r="M34" s="41"/>
      <c r="N34" s="41"/>
      <c r="O34" s="51"/>
    </row>
    <row r="35" spans="1:41" x14ac:dyDescent="0.2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1"/>
      <c r="M35" s="11"/>
      <c r="N35" s="11"/>
      <c r="O35" s="5"/>
    </row>
    <row r="36" spans="1:41" x14ac:dyDescent="0.2"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1"/>
      <c r="M36" s="11"/>
      <c r="N36" s="11"/>
      <c r="O36" s="13"/>
    </row>
    <row r="37" spans="1:41" x14ac:dyDescent="0.2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1"/>
      <c r="M37" s="11"/>
      <c r="N37" s="11"/>
    </row>
    <row r="38" spans="1:41" x14ac:dyDescent="0.2"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1"/>
      <c r="M38" s="11"/>
      <c r="N38" s="11"/>
      <c r="O38" s="6"/>
      <c r="Q38" s="3"/>
      <c r="R38" s="3"/>
      <c r="S38" s="3"/>
      <c r="T38" s="3"/>
      <c r="U38" s="3"/>
      <c r="V38" s="3"/>
    </row>
    <row r="39" spans="1:41" x14ac:dyDescent="0.2"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4"/>
      <c r="M39" s="4"/>
      <c r="N39" s="4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1:41" x14ac:dyDescent="0.2">
      <c r="A40" s="1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1"/>
      <c r="M40" s="11"/>
      <c r="N40" s="11"/>
      <c r="V40" s="3"/>
    </row>
    <row r="41" spans="1:41" x14ac:dyDescent="0.2">
      <c r="A41" s="1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1"/>
      <c r="M41" s="11"/>
      <c r="N41" s="11"/>
    </row>
    <row r="42" spans="1:41" x14ac:dyDescent="0.2">
      <c r="A42" s="1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1"/>
      <c r="M42" s="11"/>
      <c r="N42" s="11"/>
    </row>
    <row r="43" spans="1:41" x14ac:dyDescent="0.2">
      <c r="A43" s="1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1"/>
      <c r="M43" s="11"/>
      <c r="N43" s="11"/>
    </row>
    <row r="44" spans="1:41" x14ac:dyDescent="0.2">
      <c r="A44" s="14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6"/>
      <c r="M44" s="16"/>
      <c r="N44" s="16"/>
    </row>
    <row r="45" spans="1:41" x14ac:dyDescent="0.2">
      <c r="A45" s="14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</row>
    <row r="46" spans="1:41" x14ac:dyDescent="0.2">
      <c r="A46" s="14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spans="1:41" x14ac:dyDescent="0.2">
      <c r="A47" s="14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spans="1:41" x14ac:dyDescent="0.2">
      <c r="A48" s="14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12"/>
    </row>
    <row r="49" spans="1:15" x14ac:dyDescent="0.2">
      <c r="A49" s="14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</row>
    <row r="50" spans="1:15" x14ac:dyDescent="0.2">
      <c r="A50" s="14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12"/>
    </row>
    <row r="51" spans="1:15" x14ac:dyDescent="0.2">
      <c r="A51" s="14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spans="1:15" x14ac:dyDescent="0.2">
      <c r="A52" s="14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spans="1:15" x14ac:dyDescent="0.2">
      <c r="A53" s="14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</row>
    <row r="54" spans="1:15" x14ac:dyDescent="0.2">
      <c r="A54" s="14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</row>
    <row r="55" spans="1:15" x14ac:dyDescent="0.2">
      <c r="A55" s="14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 spans="1:15" x14ac:dyDescent="0.2">
      <c r="A56" s="14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spans="1:15" x14ac:dyDescent="0.2">
      <c r="A57" s="14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spans="1:15" x14ac:dyDescent="0.2">
      <c r="A58" s="14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 spans="1:15" x14ac:dyDescent="0.2">
      <c r="A59" s="14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 spans="1:15" x14ac:dyDescent="0.2">
      <c r="A60" s="14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</row>
    <row r="61" spans="1:15" x14ac:dyDescent="0.2">
      <c r="A61" s="14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 spans="1:15" x14ac:dyDescent="0.2">
      <c r="A62" s="14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</row>
    <row r="63" spans="1:15" x14ac:dyDescent="0.2">
      <c r="A63" s="14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</row>
    <row r="64" spans="1:15" x14ac:dyDescent="0.2">
      <c r="A64" s="14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</row>
    <row r="65" spans="1:14" x14ac:dyDescent="0.2">
      <c r="A65" s="14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 spans="1:14" x14ac:dyDescent="0.2">
      <c r="A66" s="14"/>
      <c r="B66" s="17"/>
      <c r="C66" s="17"/>
      <c r="D66" s="17"/>
      <c r="E66" s="17"/>
      <c r="F66" s="17"/>
      <c r="G66" s="17"/>
      <c r="H66" s="17"/>
      <c r="I66" s="17"/>
      <c r="J66" s="17"/>
      <c r="K66" s="18"/>
      <c r="L66" s="18"/>
      <c r="M66" s="18"/>
      <c r="N66" s="18"/>
    </row>
    <row r="67" spans="1:14" x14ac:dyDescent="0.2">
      <c r="A67" s="14"/>
      <c r="B67" s="14"/>
      <c r="C67" s="14"/>
      <c r="D67" s="14"/>
      <c r="E67" s="14"/>
      <c r="F67" s="14"/>
      <c r="G67" s="14"/>
      <c r="H67" s="17"/>
      <c r="I67" s="17"/>
      <c r="J67" s="17"/>
      <c r="K67" s="17"/>
      <c r="L67" s="14"/>
      <c r="M67" s="14"/>
      <c r="N67" s="14"/>
    </row>
    <row r="68" spans="1:14" x14ac:dyDescent="0.2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x14ac:dyDescent="0.2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x14ac:dyDescent="0.2">
      <c r="A70" s="14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spans="1:14" x14ac:dyDescent="0.2">
      <c r="A71" s="14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1:14" x14ac:dyDescent="0.2">
      <c r="A72" s="14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spans="1:14" x14ac:dyDescent="0.2">
      <c r="A73" s="14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1:14" x14ac:dyDescent="0.2">
      <c r="L74" s="3"/>
      <c r="M74" s="3"/>
      <c r="N74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M82"/>
  <sheetViews>
    <sheetView showGridLines="0" tabSelected="1" zoomScale="115" zoomScaleNormal="115" workbookViewId="0">
      <pane xSplit="1" ySplit="2" topLeftCell="D3" activePane="bottomRight" state="frozen"/>
      <selection pane="topRight" activeCell="B1" sqref="B1"/>
      <selection pane="bottomLeft" activeCell="A3" sqref="A3"/>
      <selection pane="bottomRight" activeCell="N39" sqref="N39"/>
    </sheetView>
  </sheetViews>
  <sheetFormatPr defaultColWidth="12.5703125" defaultRowHeight="15.75" customHeight="1" x14ac:dyDescent="0.2"/>
  <cols>
    <col min="1" max="1" width="36.7109375" customWidth="1"/>
    <col min="2" max="7" width="12.7109375" bestFit="1" customWidth="1"/>
    <col min="8" max="39" width="14.7109375" bestFit="1" customWidth="1"/>
  </cols>
  <sheetData>
    <row r="1" spans="1:39" x14ac:dyDescent="0.2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1"/>
      <c r="M1" s="21" t="s">
        <v>106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</row>
    <row r="2" spans="1:39" x14ac:dyDescent="0.2">
      <c r="A2" s="21" t="s">
        <v>73</v>
      </c>
      <c r="B2" s="21">
        <v>2015</v>
      </c>
      <c r="C2" s="21">
        <v>2016</v>
      </c>
      <c r="D2" s="21">
        <v>2017</v>
      </c>
      <c r="E2" s="21">
        <v>2018</v>
      </c>
      <c r="F2" s="21">
        <v>2019</v>
      </c>
      <c r="G2" s="21">
        <v>2020</v>
      </c>
      <c r="H2" s="21">
        <v>2021</v>
      </c>
      <c r="I2" s="21">
        <v>2022</v>
      </c>
      <c r="J2" s="21">
        <v>2023</v>
      </c>
      <c r="K2" s="21">
        <v>2024</v>
      </c>
      <c r="L2" s="21">
        <v>2025</v>
      </c>
      <c r="M2" s="21">
        <f t="shared" ref="M2:AM2" si="0">L2+1</f>
        <v>2026</v>
      </c>
      <c r="N2" s="21">
        <f t="shared" si="0"/>
        <v>2027</v>
      </c>
      <c r="O2" s="21">
        <f t="shared" si="0"/>
        <v>2028</v>
      </c>
      <c r="P2" s="21">
        <f t="shared" si="0"/>
        <v>2029</v>
      </c>
      <c r="Q2" s="21">
        <f t="shared" si="0"/>
        <v>2030</v>
      </c>
      <c r="R2" s="21">
        <f t="shared" si="0"/>
        <v>2031</v>
      </c>
      <c r="S2" s="21">
        <f t="shared" si="0"/>
        <v>2032</v>
      </c>
      <c r="T2" s="21">
        <f t="shared" si="0"/>
        <v>2033</v>
      </c>
      <c r="U2" s="21">
        <f t="shared" si="0"/>
        <v>2034</v>
      </c>
      <c r="V2" s="21">
        <f t="shared" si="0"/>
        <v>2035</v>
      </c>
      <c r="W2" s="21">
        <f t="shared" si="0"/>
        <v>2036</v>
      </c>
      <c r="X2" s="21">
        <f t="shared" si="0"/>
        <v>2037</v>
      </c>
      <c r="Y2" s="21">
        <f t="shared" si="0"/>
        <v>2038</v>
      </c>
      <c r="Z2" s="21">
        <f t="shared" si="0"/>
        <v>2039</v>
      </c>
      <c r="AA2" s="21">
        <f t="shared" si="0"/>
        <v>2040</v>
      </c>
      <c r="AB2" s="21">
        <f t="shared" si="0"/>
        <v>2041</v>
      </c>
      <c r="AC2" s="21">
        <f t="shared" si="0"/>
        <v>2042</v>
      </c>
      <c r="AD2" s="21">
        <f t="shared" si="0"/>
        <v>2043</v>
      </c>
      <c r="AE2" s="21">
        <f t="shared" si="0"/>
        <v>2044</v>
      </c>
      <c r="AF2" s="21">
        <f t="shared" si="0"/>
        <v>2045</v>
      </c>
      <c r="AG2" s="21">
        <f t="shared" si="0"/>
        <v>2046</v>
      </c>
      <c r="AH2" s="21">
        <f t="shared" si="0"/>
        <v>2047</v>
      </c>
      <c r="AI2" s="21">
        <f t="shared" si="0"/>
        <v>2048</v>
      </c>
      <c r="AJ2" s="21">
        <f t="shared" si="0"/>
        <v>2049</v>
      </c>
      <c r="AK2" s="21">
        <f t="shared" si="0"/>
        <v>2050</v>
      </c>
      <c r="AL2" s="21">
        <f t="shared" si="0"/>
        <v>2051</v>
      </c>
      <c r="AM2" s="21">
        <f t="shared" si="0"/>
        <v>2052</v>
      </c>
    </row>
    <row r="3" spans="1:39" x14ac:dyDescent="0.2">
      <c r="A3" s="21"/>
      <c r="B3" s="20"/>
      <c r="C3" s="20"/>
      <c r="D3" s="20"/>
      <c r="E3" s="20"/>
      <c r="F3" s="20"/>
      <c r="G3" s="20"/>
      <c r="H3" s="22"/>
      <c r="I3" s="22"/>
      <c r="J3" s="22"/>
      <c r="K3" s="23"/>
      <c r="L3" s="24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</row>
    <row r="4" spans="1:39" x14ac:dyDescent="0.2">
      <c r="A4" s="25" t="s">
        <v>86</v>
      </c>
      <c r="B4" s="25"/>
      <c r="C4" s="25"/>
      <c r="D4" s="25"/>
      <c r="E4" s="25"/>
      <c r="F4" s="25"/>
      <c r="G4" s="25"/>
      <c r="H4" s="25">
        <v>839238</v>
      </c>
      <c r="I4" s="25">
        <v>1188308</v>
      </c>
      <c r="J4" s="25">
        <v>1523274</v>
      </c>
      <c r="K4" s="25">
        <v>1775734</v>
      </c>
      <c r="L4" s="26">
        <v>1772579</v>
      </c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</row>
    <row r="5" spans="1:39" x14ac:dyDescent="0.2">
      <c r="A5" s="25" t="s">
        <v>87</v>
      </c>
      <c r="B5" s="25"/>
      <c r="C5" s="25"/>
      <c r="D5" s="25"/>
      <c r="E5" s="25"/>
      <c r="F5" s="25"/>
      <c r="G5" s="25"/>
      <c r="H5" s="25">
        <v>229539</v>
      </c>
      <c r="I5" s="25">
        <v>268429</v>
      </c>
      <c r="J5" s="25">
        <v>275327</v>
      </c>
      <c r="K5" s="25">
        <v>287351</v>
      </c>
      <c r="L5" s="26">
        <v>293961</v>
      </c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</row>
    <row r="6" spans="1:39" x14ac:dyDescent="0.2">
      <c r="A6" s="25" t="s">
        <v>88</v>
      </c>
      <c r="B6" s="25"/>
      <c r="C6" s="25"/>
      <c r="D6" s="25"/>
      <c r="E6" s="25"/>
      <c r="F6" s="25"/>
      <c r="G6" s="25"/>
      <c r="H6" s="25"/>
      <c r="I6" s="25"/>
      <c r="J6" s="25"/>
      <c r="K6" s="25">
        <v>151058</v>
      </c>
      <c r="L6" s="26">
        <v>51667</v>
      </c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</row>
    <row r="7" spans="1:39" x14ac:dyDescent="0.2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6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</row>
    <row r="8" spans="1:39" ht="15.75" customHeight="1" x14ac:dyDescent="0.25">
      <c r="A8" s="27" t="s">
        <v>89</v>
      </c>
      <c r="B8" s="28">
        <v>76359</v>
      </c>
      <c r="C8" s="28">
        <v>115461</v>
      </c>
      <c r="D8" s="28">
        <v>178385</v>
      </c>
      <c r="E8" s="28">
        <v>245418</v>
      </c>
      <c r="F8" s="28">
        <v>365752</v>
      </c>
      <c r="G8" s="28">
        <v>561134</v>
      </c>
      <c r="H8" s="28">
        <f t="shared" ref="H8:L8" si="1">SUM(H4:H6)</f>
        <v>1068777</v>
      </c>
      <c r="I8" s="28">
        <f>SUM(I4:I6)</f>
        <v>1456737</v>
      </c>
      <c r="J8" s="28">
        <f t="shared" si="1"/>
        <v>1798601</v>
      </c>
      <c r="K8" s="28">
        <f t="shared" si="1"/>
        <v>2214143</v>
      </c>
      <c r="L8" s="29">
        <f t="shared" si="1"/>
        <v>2118207</v>
      </c>
      <c r="M8" s="25">
        <f>K8*(1+M9)</f>
        <v>2236284.4300000002</v>
      </c>
      <c r="N8" s="25">
        <f t="shared" ref="N8:W8" si="2">M8*(1+N9)</f>
        <v>2281010.1186000002</v>
      </c>
      <c r="O8" s="25">
        <f t="shared" si="2"/>
        <v>2554731.3328320002</v>
      </c>
      <c r="P8" s="25">
        <f t="shared" si="2"/>
        <v>2861299.0927718407</v>
      </c>
      <c r="Q8" s="25">
        <f t="shared" si="2"/>
        <v>3204654.9839044618</v>
      </c>
      <c r="R8" s="25">
        <f t="shared" si="2"/>
        <v>3589213.5819729976</v>
      </c>
      <c r="S8" s="25">
        <f t="shared" si="2"/>
        <v>4019919.2118097576</v>
      </c>
      <c r="T8" s="25">
        <f t="shared" si="2"/>
        <v>4502309.5172269288</v>
      </c>
      <c r="U8" s="25">
        <f t="shared" si="2"/>
        <v>5042586.659294161</v>
      </c>
      <c r="V8" s="25">
        <f t="shared" si="2"/>
        <v>5647697.0584094608</v>
      </c>
      <c r="W8" s="25">
        <f t="shared" si="2"/>
        <v>6325420.705418597</v>
      </c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</row>
    <row r="9" spans="1:39" x14ac:dyDescent="0.2">
      <c r="A9" s="30" t="s">
        <v>90</v>
      </c>
      <c r="B9" s="25"/>
      <c r="C9" s="31">
        <f t="shared" ref="C9:L9" si="3">C8/B8-1</f>
        <v>0.51208109063764584</v>
      </c>
      <c r="D9" s="31">
        <f t="shared" si="3"/>
        <v>0.54498055620512553</v>
      </c>
      <c r="E9" s="31">
        <f t="shared" si="3"/>
        <v>0.37577711130420166</v>
      </c>
      <c r="F9" s="31">
        <f t="shared" si="3"/>
        <v>0.49032263322168701</v>
      </c>
      <c r="G9" s="31">
        <f t="shared" si="3"/>
        <v>0.53419256764146206</v>
      </c>
      <c r="H9" s="31">
        <f t="shared" si="3"/>
        <v>0.9046733935209772</v>
      </c>
      <c r="I9" s="31">
        <f t="shared" si="3"/>
        <v>0.36299433838864426</v>
      </c>
      <c r="J9" s="31">
        <f t="shared" si="3"/>
        <v>0.23467791372087077</v>
      </c>
      <c r="K9" s="31">
        <f t="shared" si="3"/>
        <v>0.23103623316121813</v>
      </c>
      <c r="L9" s="32">
        <f t="shared" si="3"/>
        <v>-4.3328728090281432E-2</v>
      </c>
      <c r="M9" s="33">
        <v>0.01</v>
      </c>
      <c r="N9" s="33">
        <v>0.02</v>
      </c>
      <c r="O9" s="33">
        <v>0.12</v>
      </c>
      <c r="P9" s="33">
        <v>0.12</v>
      </c>
      <c r="Q9" s="33">
        <v>0.12</v>
      </c>
      <c r="R9" s="33">
        <v>0.12</v>
      </c>
      <c r="S9" s="33">
        <v>0.12</v>
      </c>
      <c r="T9" s="33">
        <v>0.12</v>
      </c>
      <c r="U9" s="33">
        <v>0.12</v>
      </c>
      <c r="V9" s="33">
        <v>0.12</v>
      </c>
      <c r="W9" s="33">
        <v>0.12</v>
      </c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</row>
    <row r="10" spans="1:39" x14ac:dyDescent="0.2">
      <c r="A10" s="25"/>
      <c r="B10" s="25"/>
      <c r="C10" s="25"/>
      <c r="D10" s="34"/>
      <c r="E10" s="25"/>
      <c r="F10" s="25"/>
      <c r="G10" s="25"/>
      <c r="H10" s="25"/>
      <c r="I10" s="25"/>
      <c r="J10" s="25"/>
      <c r="K10" s="25"/>
      <c r="L10" s="26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</row>
    <row r="11" spans="1:39" x14ac:dyDescent="0.2">
      <c r="A11" s="25" t="s">
        <v>91</v>
      </c>
      <c r="B11" s="25"/>
      <c r="C11" s="25"/>
      <c r="D11" s="25"/>
      <c r="E11" s="25"/>
      <c r="F11" s="25">
        <v>126419</v>
      </c>
      <c r="G11" s="25">
        <v>133752</v>
      </c>
      <c r="H11" s="25">
        <v>207165</v>
      </c>
      <c r="I11" s="25">
        <v>289598</v>
      </c>
      <c r="J11" s="25">
        <v>355300</v>
      </c>
      <c r="K11" s="25">
        <v>437835</v>
      </c>
      <c r="L11" s="26">
        <v>476767</v>
      </c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</row>
    <row r="12" spans="1:39" x14ac:dyDescent="0.2">
      <c r="A12" s="25" t="s">
        <v>92</v>
      </c>
      <c r="B12" s="25"/>
      <c r="C12" s="25"/>
      <c r="D12" s="25"/>
      <c r="E12" s="25"/>
      <c r="F12" s="25">
        <v>25476</v>
      </c>
      <c r="G12" s="25">
        <v>32513</v>
      </c>
      <c r="H12" s="25">
        <v>80646</v>
      </c>
      <c r="I12" s="25">
        <v>100378</v>
      </c>
      <c r="J12" s="25">
        <v>124683</v>
      </c>
      <c r="K12" s="25">
        <v>142222</v>
      </c>
      <c r="L12" s="26">
        <v>160034</v>
      </c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</row>
    <row r="13" spans="1:39" x14ac:dyDescent="0.2">
      <c r="A13" s="25" t="s">
        <v>93</v>
      </c>
      <c r="B13" s="25"/>
      <c r="C13" s="25"/>
      <c r="D13" s="25"/>
      <c r="E13" s="25"/>
      <c r="F13" s="25">
        <v>56385</v>
      </c>
      <c r="G13" s="25">
        <v>95169</v>
      </c>
      <c r="H13" s="25">
        <v>126962</v>
      </c>
      <c r="I13" s="25">
        <v>158699</v>
      </c>
      <c r="J13" s="25">
        <v>175888</v>
      </c>
      <c r="K13" s="25">
        <v>214533</v>
      </c>
      <c r="L13" s="26">
        <v>224100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</row>
    <row r="14" spans="1:39" x14ac:dyDescent="0.2">
      <c r="A14" s="25"/>
      <c r="B14" s="25"/>
      <c r="C14" s="25"/>
      <c r="D14" s="34"/>
      <c r="E14" s="25"/>
      <c r="F14" s="25"/>
      <c r="G14" s="25"/>
      <c r="H14" s="25"/>
      <c r="I14" s="25"/>
      <c r="J14" s="25"/>
      <c r="K14" s="25"/>
      <c r="L14" s="26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</row>
    <row r="15" spans="1:39" x14ac:dyDescent="0.2">
      <c r="A15" s="27" t="s">
        <v>94</v>
      </c>
      <c r="B15" s="25"/>
      <c r="C15" s="25"/>
      <c r="D15" s="34"/>
      <c r="E15" s="25"/>
      <c r="F15" s="25">
        <f t="shared" ref="F15:L15" si="4">F8-F11-F12-F13</f>
        <v>157472</v>
      </c>
      <c r="G15" s="25">
        <f t="shared" si="4"/>
        <v>299700</v>
      </c>
      <c r="H15" s="25">
        <f t="shared" si="4"/>
        <v>654004</v>
      </c>
      <c r="I15" s="25">
        <f t="shared" si="4"/>
        <v>908062</v>
      </c>
      <c r="J15" s="25">
        <f t="shared" si="4"/>
        <v>1142730</v>
      </c>
      <c r="K15" s="25">
        <f t="shared" si="4"/>
        <v>1419553</v>
      </c>
      <c r="L15" s="26">
        <f t="shared" si="4"/>
        <v>1257306</v>
      </c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</row>
    <row r="16" spans="1:39" x14ac:dyDescent="0.2">
      <c r="A16" s="27" t="s">
        <v>95</v>
      </c>
      <c r="B16" s="25"/>
      <c r="C16" s="25"/>
      <c r="D16" s="25"/>
      <c r="E16" s="25"/>
      <c r="F16" s="35">
        <f t="shared" ref="F16:L16" si="5">F15+F12</f>
        <v>182948</v>
      </c>
      <c r="G16" s="35">
        <f t="shared" si="5"/>
        <v>332213</v>
      </c>
      <c r="H16" s="35">
        <f t="shared" si="5"/>
        <v>734650</v>
      </c>
      <c r="I16" s="35">
        <f t="shared" si="5"/>
        <v>1008440</v>
      </c>
      <c r="J16" s="35">
        <f t="shared" si="5"/>
        <v>1267413</v>
      </c>
      <c r="K16" s="35">
        <f t="shared" si="5"/>
        <v>1561775</v>
      </c>
      <c r="L16" s="36">
        <f t="shared" si="5"/>
        <v>1417340</v>
      </c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</row>
    <row r="17" spans="1:39" x14ac:dyDescent="0.2">
      <c r="A17" s="27" t="s">
        <v>96</v>
      </c>
      <c r="B17" s="25"/>
      <c r="C17" s="25"/>
      <c r="D17" s="25"/>
      <c r="E17" s="25"/>
      <c r="F17" s="35">
        <f t="shared" ref="F17:L17" si="6">F19-F15</f>
        <v>-200</v>
      </c>
      <c r="G17" s="35">
        <f t="shared" si="6"/>
        <v>-1018</v>
      </c>
      <c r="H17" s="35">
        <f t="shared" si="6"/>
        <v>-6513</v>
      </c>
      <c r="I17" s="35">
        <f t="shared" si="6"/>
        <v>-1469</v>
      </c>
      <c r="J17" s="35">
        <f t="shared" si="6"/>
        <v>5877</v>
      </c>
      <c r="K17" s="35">
        <f t="shared" si="6"/>
        <v>19371</v>
      </c>
      <c r="L17" s="36">
        <f t="shared" si="6"/>
        <v>-10882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</row>
    <row r="18" spans="1:39" x14ac:dyDescent="0.2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6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</row>
    <row r="19" spans="1:39" ht="15" x14ac:dyDescent="0.2">
      <c r="A19" s="25" t="s">
        <v>97</v>
      </c>
      <c r="B19" s="35"/>
      <c r="C19" s="35"/>
      <c r="D19" s="35"/>
      <c r="E19" s="35"/>
      <c r="F19" s="35">
        <v>157272</v>
      </c>
      <c r="G19" s="35">
        <v>298682</v>
      </c>
      <c r="H19" s="35">
        <v>647491</v>
      </c>
      <c r="I19" s="35">
        <v>906593</v>
      </c>
      <c r="J19" s="35">
        <v>1148607</v>
      </c>
      <c r="K19" s="35">
        <v>1438924</v>
      </c>
      <c r="L19" s="26">
        <v>1246424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</row>
    <row r="20" spans="1:39" x14ac:dyDescent="0.2">
      <c r="A20" s="27" t="s">
        <v>98</v>
      </c>
      <c r="B20" s="35"/>
      <c r="C20" s="35"/>
      <c r="D20" s="35"/>
      <c r="E20" s="35"/>
      <c r="F20" s="35">
        <f t="shared" ref="F20:L20" si="7">F22-F19</f>
        <v>-7546</v>
      </c>
      <c r="G20" s="35">
        <f t="shared" si="7"/>
        <v>-14060</v>
      </c>
      <c r="H20" s="35">
        <f t="shared" si="7"/>
        <v>-42056</v>
      </c>
      <c r="I20" s="35">
        <f t="shared" si="7"/>
        <v>-63232</v>
      </c>
      <c r="J20" s="35">
        <f t="shared" si="7"/>
        <v>-77749</v>
      </c>
      <c r="K20" s="35">
        <f t="shared" si="7"/>
        <v>-194909</v>
      </c>
      <c r="L20" s="36">
        <f t="shared" si="7"/>
        <v>-184328</v>
      </c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</row>
    <row r="21" spans="1:39" x14ac:dyDescent="0.2">
      <c r="A21" s="2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26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</row>
    <row r="22" spans="1:39" x14ac:dyDescent="0.2">
      <c r="A22" s="25" t="s">
        <v>99</v>
      </c>
      <c r="B22" s="35">
        <v>20028</v>
      </c>
      <c r="C22" s="35">
        <v>31740</v>
      </c>
      <c r="D22" s="35">
        <v>62129</v>
      </c>
      <c r="E22" s="35">
        <v>83460</v>
      </c>
      <c r="F22" s="35">
        <v>149726</v>
      </c>
      <c r="G22" s="35">
        <v>284622</v>
      </c>
      <c r="H22" s="35">
        <v>605435</v>
      </c>
      <c r="I22" s="35">
        <v>843361</v>
      </c>
      <c r="J22" s="35">
        <v>1070858</v>
      </c>
      <c r="K22" s="35">
        <v>1244015</v>
      </c>
      <c r="L22" s="26">
        <v>1062096</v>
      </c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</row>
    <row r="23" spans="1:39" x14ac:dyDescent="0.2">
      <c r="A23" s="2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26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</row>
    <row r="24" spans="1:39" x14ac:dyDescent="0.2">
      <c r="A24" s="35" t="s">
        <v>107</v>
      </c>
      <c r="B24" s="35"/>
      <c r="C24" s="35"/>
      <c r="D24" s="35"/>
      <c r="E24" s="35">
        <f>18197+561</f>
        <v>18758</v>
      </c>
      <c r="F24" s="35">
        <f>25476+1216</f>
        <v>26692</v>
      </c>
      <c r="G24" s="35">
        <f>32513+9979+13866</f>
        <v>56358</v>
      </c>
      <c r="H24" s="35">
        <f>80646-7696-2840</f>
        <v>70110</v>
      </c>
      <c r="I24" s="35">
        <f>100378-1401-3407</f>
        <v>95570</v>
      </c>
      <c r="J24" s="35">
        <f>124683</f>
        <v>124683</v>
      </c>
      <c r="K24" s="25">
        <f>-5839</f>
        <v>-5839</v>
      </c>
      <c r="L24" s="26">
        <v>95402</v>
      </c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</row>
    <row r="25" spans="1:39" x14ac:dyDescent="0.2">
      <c r="A25" s="27" t="s">
        <v>108</v>
      </c>
      <c r="B25" s="35"/>
      <c r="C25" s="35"/>
      <c r="D25" s="35"/>
      <c r="E25" s="25">
        <f t="shared" ref="E25:L25" si="8">E22+E24</f>
        <v>102218</v>
      </c>
      <c r="F25" s="25">
        <f t="shared" si="8"/>
        <v>176418</v>
      </c>
      <c r="G25" s="25">
        <f t="shared" si="8"/>
        <v>340980</v>
      </c>
      <c r="H25" s="25">
        <f t="shared" si="8"/>
        <v>675545</v>
      </c>
      <c r="I25" s="25">
        <f t="shared" si="8"/>
        <v>938931</v>
      </c>
      <c r="J25" s="25">
        <f t="shared" si="8"/>
        <v>1195541</v>
      </c>
      <c r="K25" s="25">
        <f t="shared" si="8"/>
        <v>1238176</v>
      </c>
      <c r="L25" s="26">
        <f t="shared" si="8"/>
        <v>1157498</v>
      </c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</row>
    <row r="26" spans="1:39" x14ac:dyDescent="0.2">
      <c r="A26" s="35" t="s">
        <v>109</v>
      </c>
      <c r="B26" s="35"/>
      <c r="C26" s="35"/>
      <c r="D26" s="35"/>
      <c r="E26" s="35">
        <f>-8129-761+3754</f>
        <v>-5136</v>
      </c>
      <c r="F26" s="35">
        <f>-17276+1358+13055</f>
        <v>-2863</v>
      </c>
      <c r="G26" s="35">
        <f>-32345-253-2295</f>
        <v>-34893</v>
      </c>
      <c r="H26" s="35">
        <f>-70442-7114-17727</f>
        <v>-95283</v>
      </c>
      <c r="I26" s="35">
        <f>-72075+1198-7248</f>
        <v>-78125</v>
      </c>
      <c r="J26" s="35">
        <f>-72370+3044+4728</f>
        <v>-64598</v>
      </c>
      <c r="K26" s="25">
        <f>-60344+2480-1015</f>
        <v>-58879</v>
      </c>
      <c r="L26" s="26">
        <f>-39248-4605+10142</f>
        <v>-33711</v>
      </c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</row>
    <row r="27" spans="1:39" x14ac:dyDescent="0.2">
      <c r="A27" s="27" t="s">
        <v>110</v>
      </c>
      <c r="B27" s="35"/>
      <c r="C27" s="35"/>
      <c r="D27" s="35"/>
      <c r="E27" s="25">
        <f t="shared" ref="E27:L27" si="9">E25+E26</f>
        <v>97082</v>
      </c>
      <c r="F27" s="25">
        <f t="shared" si="9"/>
        <v>173555</v>
      </c>
      <c r="G27" s="25">
        <f t="shared" si="9"/>
        <v>306087</v>
      </c>
      <c r="H27" s="25">
        <f t="shared" si="9"/>
        <v>580262</v>
      </c>
      <c r="I27" s="25">
        <f t="shared" si="9"/>
        <v>860806</v>
      </c>
      <c r="J27" s="25">
        <f t="shared" si="9"/>
        <v>1130943</v>
      </c>
      <c r="K27" s="25">
        <f t="shared" si="9"/>
        <v>1179297</v>
      </c>
      <c r="L27" s="26">
        <f t="shared" si="9"/>
        <v>1123787</v>
      </c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</row>
    <row r="28" spans="1:39" x14ac:dyDescent="0.2">
      <c r="A28" s="25" t="s">
        <v>111</v>
      </c>
      <c r="B28" s="35"/>
      <c r="C28" s="35"/>
      <c r="D28" s="35"/>
      <c r="E28" s="35">
        <f>15262+17868</f>
        <v>33130</v>
      </c>
      <c r="F28" s="35">
        <f>11158+18950+11812</f>
        <v>41920</v>
      </c>
      <c r="G28" s="35">
        <f>13635+23251-46085</f>
        <v>-9199</v>
      </c>
      <c r="H28" s="35">
        <f>28285+33307+92230</f>
        <v>153822</v>
      </c>
      <c r="I28" s="35">
        <f>36278+60661+273136</f>
        <v>370075</v>
      </c>
      <c r="J28" s="35">
        <f>51973+42219+47536</f>
        <v>141728</v>
      </c>
      <c r="K28" s="35">
        <f>71395+65318+7583</f>
        <v>144296</v>
      </c>
      <c r="L28" s="26">
        <f>70231+64599+11191</f>
        <v>146021</v>
      </c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</row>
    <row r="29" spans="1:39" x14ac:dyDescent="0.2">
      <c r="A29" s="27" t="s">
        <v>112</v>
      </c>
      <c r="B29" s="35"/>
      <c r="C29" s="35"/>
      <c r="D29" s="35"/>
      <c r="E29" s="25">
        <f t="shared" ref="E29:L29" si="10">E27-E28</f>
        <v>63952</v>
      </c>
      <c r="F29" s="25">
        <f t="shared" si="10"/>
        <v>131635</v>
      </c>
      <c r="G29" s="25">
        <f t="shared" si="10"/>
        <v>315286</v>
      </c>
      <c r="H29" s="25">
        <f t="shared" si="10"/>
        <v>426440</v>
      </c>
      <c r="I29" s="25">
        <f t="shared" si="10"/>
        <v>490731</v>
      </c>
      <c r="J29" s="25">
        <f t="shared" si="10"/>
        <v>989215</v>
      </c>
      <c r="K29" s="25">
        <f t="shared" si="10"/>
        <v>1035001</v>
      </c>
      <c r="L29" s="26">
        <f t="shared" si="10"/>
        <v>977766</v>
      </c>
      <c r="M29" s="25">
        <f t="shared" ref="M29:V29" si="11">M8*M36</f>
        <v>1006327.9935000001</v>
      </c>
      <c r="N29" s="25">
        <f t="shared" si="11"/>
        <v>1026454.5533700001</v>
      </c>
      <c r="O29" s="25">
        <f t="shared" si="11"/>
        <v>1149629.0997744002</v>
      </c>
      <c r="P29" s="25">
        <f t="shared" si="11"/>
        <v>1287584.5917473284</v>
      </c>
      <c r="Q29" s="25">
        <f t="shared" si="11"/>
        <v>1442094.7427570079</v>
      </c>
      <c r="R29" s="25">
        <f t="shared" si="11"/>
        <v>1615146.1118878489</v>
      </c>
      <c r="S29" s="25">
        <f t="shared" si="11"/>
        <v>1808963.645314391</v>
      </c>
      <c r="T29" s="25">
        <f t="shared" si="11"/>
        <v>2026039.2827521181</v>
      </c>
      <c r="U29" s="25">
        <f t="shared" si="11"/>
        <v>2269163.9966823724</v>
      </c>
      <c r="V29" s="25">
        <f t="shared" si="11"/>
        <v>2541463.6762842573</v>
      </c>
      <c r="W29" s="25">
        <f t="shared" ref="W29:AM29" si="12">V29*(1+$M$40)</f>
        <v>2490634.4027585723</v>
      </c>
      <c r="X29" s="25">
        <f t="shared" si="12"/>
        <v>2440821.7147034006</v>
      </c>
      <c r="Y29" s="25">
        <f t="shared" si="12"/>
        <v>2392005.2804093324</v>
      </c>
      <c r="Z29" s="25">
        <f t="shared" si="12"/>
        <v>2344165.1748011457</v>
      </c>
      <c r="AA29" s="25">
        <f t="shared" si="12"/>
        <v>2297281.8713051225</v>
      </c>
      <c r="AB29" s="25">
        <f t="shared" si="12"/>
        <v>2251336.23387902</v>
      </c>
      <c r="AC29" s="25">
        <f t="shared" si="12"/>
        <v>2206309.5092014396</v>
      </c>
      <c r="AD29" s="25">
        <f t="shared" si="12"/>
        <v>2162183.3190174107</v>
      </c>
      <c r="AE29" s="25">
        <f t="shared" si="12"/>
        <v>2118939.6526370626</v>
      </c>
      <c r="AF29" s="25">
        <f t="shared" si="12"/>
        <v>2076560.8595843213</v>
      </c>
      <c r="AG29" s="25">
        <f t="shared" si="12"/>
        <v>2035029.6423926349</v>
      </c>
      <c r="AH29" s="25">
        <f t="shared" si="12"/>
        <v>1994329.0495447821</v>
      </c>
      <c r="AI29" s="25">
        <f t="shared" si="12"/>
        <v>1954442.4685538865</v>
      </c>
      <c r="AJ29" s="25">
        <f t="shared" si="12"/>
        <v>1915353.6191828088</v>
      </c>
      <c r="AK29" s="25">
        <f t="shared" si="12"/>
        <v>1877046.5467991526</v>
      </c>
      <c r="AL29" s="25">
        <f t="shared" si="12"/>
        <v>1839505.6158631695</v>
      </c>
      <c r="AM29" s="25">
        <f t="shared" si="12"/>
        <v>1802715.5035459062</v>
      </c>
    </row>
    <row r="30" spans="1:39" x14ac:dyDescent="0.2">
      <c r="A30" s="2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26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</row>
    <row r="31" spans="1:39" x14ac:dyDescent="0.2">
      <c r="A31" s="25" t="s">
        <v>100</v>
      </c>
      <c r="B31" s="35"/>
      <c r="C31" s="35"/>
      <c r="D31" s="35"/>
      <c r="E31" s="35"/>
      <c r="F31" s="37"/>
      <c r="G31" s="37"/>
      <c r="H31" s="37">
        <f t="shared" ref="H31:L31" si="13">H4/H8</f>
        <v>0.78523209238222758</v>
      </c>
      <c r="I31" s="37">
        <f t="shared" si="13"/>
        <v>0.81573269574398122</v>
      </c>
      <c r="J31" s="37">
        <f t="shared" si="13"/>
        <v>0.84692157960548231</v>
      </c>
      <c r="K31" s="37">
        <f t="shared" si="13"/>
        <v>0.80199607703748133</v>
      </c>
      <c r="L31" s="38">
        <f t="shared" si="13"/>
        <v>0.8368299226657262</v>
      </c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</row>
    <row r="32" spans="1:39" x14ac:dyDescent="0.2">
      <c r="A32" s="25" t="s">
        <v>101</v>
      </c>
      <c r="B32" s="35"/>
      <c r="C32" s="35"/>
      <c r="D32" s="35"/>
      <c r="E32" s="35"/>
      <c r="F32" s="37"/>
      <c r="G32" s="37"/>
      <c r="H32" s="37">
        <f t="shared" ref="H32:L32" si="14">H5/H8</f>
        <v>0.21476790761777245</v>
      </c>
      <c r="I32" s="37">
        <f t="shared" si="14"/>
        <v>0.18426730425601875</v>
      </c>
      <c r="J32" s="37">
        <f t="shared" si="14"/>
        <v>0.15307842039451774</v>
      </c>
      <c r="K32" s="37">
        <f t="shared" si="14"/>
        <v>0.12977978387123143</v>
      </c>
      <c r="L32" s="38">
        <f t="shared" si="14"/>
        <v>0.13877822139196028</v>
      </c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</row>
    <row r="33" spans="1:39" x14ac:dyDescent="0.2">
      <c r="A33" s="25" t="s">
        <v>102</v>
      </c>
      <c r="B33" s="35"/>
      <c r="C33" s="35"/>
      <c r="D33" s="35"/>
      <c r="E33" s="35"/>
      <c r="F33" s="37">
        <v>0.61191810826767412</v>
      </c>
      <c r="G33" s="37">
        <v>0.62335342618468537</v>
      </c>
      <c r="H33" s="37">
        <f t="shared" ref="H33:L33" si="15">H15/H8</f>
        <v>0.61191810826767412</v>
      </c>
      <c r="I33" s="37">
        <f t="shared" si="15"/>
        <v>0.62335342618468537</v>
      </c>
      <c r="J33" s="37">
        <f t="shared" si="15"/>
        <v>0.63534380332269358</v>
      </c>
      <c r="K33" s="37">
        <f t="shared" si="15"/>
        <v>0.64112977346088307</v>
      </c>
      <c r="L33" s="38">
        <f t="shared" si="15"/>
        <v>0.59357088329894103</v>
      </c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</row>
    <row r="34" spans="1:39" x14ac:dyDescent="0.2">
      <c r="A34" s="21" t="s">
        <v>103</v>
      </c>
      <c r="B34" s="37"/>
      <c r="C34" s="37"/>
      <c r="D34" s="37"/>
      <c r="E34" s="37"/>
      <c r="F34" s="37">
        <f t="shared" ref="F34:L34" si="16">F16/F8</f>
        <v>0.50019685469935915</v>
      </c>
      <c r="G34" s="37">
        <f t="shared" si="16"/>
        <v>0.59203862179087352</v>
      </c>
      <c r="H34" s="37">
        <f t="shared" si="16"/>
        <v>0.68737444761629418</v>
      </c>
      <c r="I34" s="37">
        <f t="shared" si="16"/>
        <v>0.6922594812927797</v>
      </c>
      <c r="J34" s="37">
        <f t="shared" si="16"/>
        <v>0.70466601541976237</v>
      </c>
      <c r="K34" s="37">
        <f t="shared" si="16"/>
        <v>0.70536320373164696</v>
      </c>
      <c r="L34" s="38">
        <f t="shared" si="16"/>
        <v>0.66912251729882866</v>
      </c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</row>
    <row r="35" spans="1:39" x14ac:dyDescent="0.2">
      <c r="A35" s="21" t="s">
        <v>104</v>
      </c>
      <c r="B35" s="37">
        <f t="shared" ref="B35:L35" si="17">B22/B8</f>
        <v>0.2622873531607276</v>
      </c>
      <c r="C35" s="37">
        <f t="shared" si="17"/>
        <v>0.27489801751240678</v>
      </c>
      <c r="D35" s="37">
        <f t="shared" si="17"/>
        <v>0.34828601059506126</v>
      </c>
      <c r="E35" s="37">
        <f t="shared" si="17"/>
        <v>0.34007285529178788</v>
      </c>
      <c r="F35" s="37">
        <f t="shared" si="17"/>
        <v>0.4093648155034012</v>
      </c>
      <c r="G35" s="37">
        <f t="shared" si="17"/>
        <v>0.50722643789184041</v>
      </c>
      <c r="H35" s="37">
        <f t="shared" si="17"/>
        <v>0.5664745779521827</v>
      </c>
      <c r="I35" s="37">
        <f t="shared" si="17"/>
        <v>0.57893840823703935</v>
      </c>
      <c r="J35" s="37">
        <f t="shared" si="17"/>
        <v>0.59538385667527149</v>
      </c>
      <c r="K35" s="37">
        <f t="shared" si="17"/>
        <v>0.5618494379089336</v>
      </c>
      <c r="L35" s="38">
        <f t="shared" si="17"/>
        <v>0.5014127514449721</v>
      </c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</row>
    <row r="36" spans="1:39" x14ac:dyDescent="0.2">
      <c r="A36" s="21" t="s">
        <v>113</v>
      </c>
      <c r="B36" s="35"/>
      <c r="C36" s="35"/>
      <c r="D36" s="35"/>
      <c r="E36" s="37">
        <f t="shared" ref="E36:L36" si="18">E29/E8</f>
        <v>0.26058398324491278</v>
      </c>
      <c r="F36" s="37">
        <f t="shared" si="18"/>
        <v>0.35990233819637352</v>
      </c>
      <c r="G36" s="37">
        <f t="shared" si="18"/>
        <v>0.56187292161943492</v>
      </c>
      <c r="H36" s="37">
        <f t="shared" si="18"/>
        <v>0.39899810718232148</v>
      </c>
      <c r="I36" s="37">
        <f t="shared" si="18"/>
        <v>0.33687000467483147</v>
      </c>
      <c r="J36" s="37">
        <f t="shared" si="18"/>
        <v>0.54999135439155211</v>
      </c>
      <c r="K36" s="37">
        <f t="shared" si="18"/>
        <v>0.46744993435383353</v>
      </c>
      <c r="L36" s="38">
        <f t="shared" si="18"/>
        <v>0.46160077839417962</v>
      </c>
      <c r="M36" s="39">
        <v>0.45</v>
      </c>
      <c r="N36" s="39">
        <v>0.45</v>
      </c>
      <c r="O36" s="39">
        <v>0.45</v>
      </c>
      <c r="P36" s="39">
        <v>0.45</v>
      </c>
      <c r="Q36" s="39">
        <v>0.45</v>
      </c>
      <c r="R36" s="39">
        <v>0.45</v>
      </c>
      <c r="S36" s="39">
        <v>0.45</v>
      </c>
      <c r="T36" s="39">
        <v>0.45</v>
      </c>
      <c r="U36" s="39">
        <v>0.45</v>
      </c>
      <c r="V36" s="39">
        <v>0.45</v>
      </c>
      <c r="W36" s="39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</row>
    <row r="37" spans="1:39" x14ac:dyDescent="0.2">
      <c r="A37" s="21" t="s">
        <v>105</v>
      </c>
      <c r="B37" s="35"/>
      <c r="C37" s="35"/>
      <c r="D37" s="35"/>
      <c r="E37" s="35"/>
      <c r="F37" s="37">
        <v>6.4952254162606124E-2</v>
      </c>
      <c r="G37" s="37">
        <v>6.9746843401614619E-2</v>
      </c>
      <c r="H37" s="37">
        <f t="shared" ref="H37:L37" si="19">-H20/H19</f>
        <v>6.4952254162606124E-2</v>
      </c>
      <c r="I37" s="37">
        <f t="shared" si="19"/>
        <v>6.9746843401614619E-2</v>
      </c>
      <c r="J37" s="37">
        <f t="shared" si="19"/>
        <v>6.7689819059086359E-2</v>
      </c>
      <c r="K37" s="37">
        <f t="shared" si="19"/>
        <v>0.13545468697443366</v>
      </c>
      <c r="L37" s="38">
        <f t="shared" si="19"/>
        <v>0.14788547075473515</v>
      </c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</row>
    <row r="38" spans="1:39" x14ac:dyDescent="0.2">
      <c r="A38" s="20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24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</row>
    <row r="39" spans="1:39" x14ac:dyDescent="0.2">
      <c r="A39" s="20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24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</row>
    <row r="40" spans="1:39" x14ac:dyDescent="0.2">
      <c r="A40" s="20"/>
      <c r="B40" s="40"/>
      <c r="C40" s="40"/>
      <c r="D40" s="40"/>
      <c r="E40" s="40"/>
      <c r="F40" s="40"/>
      <c r="G40" s="40"/>
      <c r="H40" s="40"/>
      <c r="I40" s="40"/>
      <c r="J40" s="40"/>
      <c r="K40" s="41"/>
      <c r="L40" s="42"/>
      <c r="M40" s="43">
        <v>-0.02</v>
      </c>
      <c r="N40" s="21" t="s">
        <v>114</v>
      </c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</row>
    <row r="41" spans="1:39" x14ac:dyDescent="0.2">
      <c r="A41" s="20"/>
      <c r="B41" s="40"/>
      <c r="C41" s="40"/>
      <c r="D41" s="40"/>
      <c r="E41" s="40"/>
      <c r="F41" s="40"/>
      <c r="G41" s="40"/>
      <c r="H41" s="40"/>
      <c r="I41" s="40"/>
      <c r="J41" s="40"/>
      <c r="K41" s="41"/>
      <c r="L41" s="32"/>
      <c r="M41" s="43">
        <v>0.1</v>
      </c>
      <c r="N41" s="21" t="s">
        <v>115</v>
      </c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</row>
    <row r="42" spans="1:39" x14ac:dyDescent="0.2">
      <c r="A42" s="20"/>
      <c r="B42" s="40"/>
      <c r="C42" s="40"/>
      <c r="D42" s="40"/>
      <c r="E42" s="40"/>
      <c r="F42" s="40"/>
      <c r="G42" s="40"/>
      <c r="H42" s="40"/>
      <c r="I42" s="40"/>
      <c r="J42" s="40"/>
      <c r="K42" s="41"/>
      <c r="L42" s="44"/>
      <c r="M42" s="45">
        <f t="array" ref="M42">NPV(M41,M29:AM29)</f>
        <v>16008185.319033055</v>
      </c>
      <c r="N42" s="21" t="s">
        <v>116</v>
      </c>
      <c r="O42" s="25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</row>
    <row r="43" spans="1:39" x14ac:dyDescent="0.2">
      <c r="A43" s="20"/>
      <c r="B43" s="40"/>
      <c r="C43" s="40"/>
      <c r="D43" s="40"/>
      <c r="E43" s="40"/>
      <c r="F43" s="40"/>
      <c r="G43" s="40"/>
      <c r="H43" s="40"/>
      <c r="I43" s="40"/>
      <c r="J43" s="40"/>
      <c r="K43" s="41"/>
      <c r="L43" s="46"/>
      <c r="M43" s="47">
        <f>Screen!K4</f>
        <v>199226</v>
      </c>
      <c r="N43" s="21" t="s">
        <v>117</v>
      </c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</row>
    <row r="44" spans="1:39" x14ac:dyDescent="0.2">
      <c r="A44" s="20"/>
      <c r="B44" s="40"/>
      <c r="C44" s="40"/>
      <c r="D44" s="40"/>
      <c r="E44" s="40"/>
      <c r="F44" s="40"/>
      <c r="G44" s="40"/>
      <c r="H44" s="40"/>
      <c r="I44" s="40"/>
      <c r="J44" s="40"/>
      <c r="K44" s="41"/>
      <c r="L44" s="48"/>
      <c r="M44" s="49">
        <f>M42/M43</f>
        <v>80.351888403285983</v>
      </c>
      <c r="N44" s="21" t="s">
        <v>118</v>
      </c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</row>
    <row r="45" spans="1:39" x14ac:dyDescent="0.2">
      <c r="A45" s="20"/>
      <c r="B45" s="40"/>
      <c r="C45" s="40"/>
      <c r="D45" s="40"/>
      <c r="E45" s="40"/>
      <c r="F45" s="40"/>
      <c r="G45" s="40"/>
      <c r="H45" s="40"/>
      <c r="I45" s="40"/>
      <c r="J45" s="40"/>
      <c r="K45" s="41"/>
      <c r="L45" s="24"/>
      <c r="M45" s="50">
        <f ca="1">Screen!K3</f>
        <v>59.1008</v>
      </c>
      <c r="N45" s="21" t="s">
        <v>119</v>
      </c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</row>
    <row r="46" spans="1:39" x14ac:dyDescent="0.2">
      <c r="A46" s="20"/>
      <c r="B46" s="40"/>
      <c r="C46" s="40"/>
      <c r="D46" s="40"/>
      <c r="E46" s="40"/>
      <c r="F46" s="40"/>
      <c r="G46" s="40"/>
      <c r="H46" s="40"/>
      <c r="I46" s="40"/>
      <c r="J46" s="40"/>
      <c r="K46" s="41"/>
      <c r="L46" s="42"/>
      <c r="M46" s="43">
        <f ca="1">(M44-M45)/M45</f>
        <v>0.35957361665639015</v>
      </c>
      <c r="N46" s="21" t="s">
        <v>120</v>
      </c>
      <c r="O46" s="31"/>
      <c r="P46" s="31"/>
      <c r="Q46" s="31"/>
      <c r="R46" s="31"/>
      <c r="S46" s="31"/>
      <c r="T46" s="31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</row>
    <row r="47" spans="1:39" x14ac:dyDescent="0.2">
      <c r="A47" s="20"/>
      <c r="B47" s="40"/>
      <c r="C47" s="40"/>
      <c r="D47" s="40"/>
      <c r="E47" s="40"/>
      <c r="F47" s="40"/>
      <c r="G47" s="40"/>
      <c r="H47" s="40"/>
      <c r="I47" s="40"/>
      <c r="J47" s="40"/>
      <c r="K47" s="25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</row>
    <row r="48" spans="1:39" x14ac:dyDescent="0.2">
      <c r="A48" s="21"/>
      <c r="B48" s="40"/>
      <c r="C48" s="40"/>
      <c r="D48" s="40"/>
      <c r="E48" s="40"/>
      <c r="F48" s="40"/>
      <c r="G48" s="40"/>
      <c r="H48" s="40"/>
      <c r="I48" s="40"/>
      <c r="J48" s="40"/>
      <c r="K48" s="41"/>
      <c r="L48" s="20"/>
      <c r="M48" s="20"/>
      <c r="N48" s="20"/>
      <c r="O48" s="20"/>
      <c r="P48" s="20"/>
      <c r="Q48" s="20"/>
      <c r="R48" s="20"/>
      <c r="S48" s="20"/>
      <c r="T48" s="31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</row>
    <row r="49" spans="1:39" x14ac:dyDescent="0.2">
      <c r="A49" s="21"/>
      <c r="B49" s="40"/>
      <c r="C49" s="40"/>
      <c r="D49" s="40"/>
      <c r="E49" s="40"/>
      <c r="F49" s="40"/>
      <c r="G49" s="40"/>
      <c r="H49" s="40"/>
      <c r="I49" s="40"/>
      <c r="J49" s="40"/>
      <c r="K49" s="41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</row>
    <row r="50" spans="1:39" x14ac:dyDescent="0.2">
      <c r="A50" s="1"/>
      <c r="B50" s="10"/>
      <c r="C50" s="10"/>
      <c r="D50" s="10"/>
      <c r="E50" s="10"/>
      <c r="F50" s="10"/>
      <c r="G50" s="10"/>
      <c r="H50" s="10"/>
      <c r="I50" s="10"/>
      <c r="J50" s="10"/>
      <c r="K50" s="11"/>
    </row>
    <row r="51" spans="1:39" x14ac:dyDescent="0.2">
      <c r="A51" s="1"/>
      <c r="B51" s="10"/>
      <c r="C51" s="10"/>
      <c r="D51" s="10"/>
      <c r="E51" s="10"/>
      <c r="F51" s="10"/>
      <c r="G51" s="10"/>
      <c r="H51" s="10"/>
      <c r="I51" s="10"/>
      <c r="J51" s="10"/>
      <c r="K51" s="11"/>
    </row>
    <row r="52" spans="1:39" x14ac:dyDescent="0.2">
      <c r="A52" s="14"/>
      <c r="B52" s="15"/>
      <c r="C52" s="15"/>
      <c r="D52" s="15"/>
      <c r="E52" s="15"/>
      <c r="F52" s="15"/>
      <c r="G52" s="15"/>
      <c r="H52" s="15"/>
      <c r="I52" s="15"/>
      <c r="J52" s="15"/>
      <c r="K52" s="16"/>
    </row>
    <row r="53" spans="1:39" x14ac:dyDescent="0.2">
      <c r="A53" s="14"/>
      <c r="B53" s="7"/>
      <c r="C53" s="7"/>
      <c r="D53" s="7"/>
      <c r="E53" s="7"/>
      <c r="F53" s="7"/>
      <c r="G53" s="7"/>
      <c r="H53" s="7"/>
      <c r="I53" s="7"/>
      <c r="J53" s="7"/>
      <c r="K53" s="7"/>
    </row>
    <row r="54" spans="1:39" x14ac:dyDescent="0.2">
      <c r="A54" s="14"/>
      <c r="B54" s="7"/>
      <c r="C54" s="7"/>
      <c r="D54" s="7"/>
      <c r="E54" s="7"/>
      <c r="F54" s="7"/>
      <c r="G54" s="7"/>
      <c r="H54" s="7"/>
      <c r="I54" s="7"/>
      <c r="J54" s="7"/>
      <c r="K54" s="7"/>
    </row>
    <row r="55" spans="1:39" x14ac:dyDescent="0.2">
      <c r="A55" s="14"/>
      <c r="B55" s="7"/>
      <c r="C55" s="7"/>
      <c r="D55" s="7"/>
      <c r="E55" s="7"/>
      <c r="F55" s="7"/>
      <c r="G55" s="7"/>
      <c r="H55" s="7"/>
      <c r="I55" s="7"/>
      <c r="J55" s="7"/>
      <c r="K55" s="7"/>
    </row>
    <row r="56" spans="1:39" x14ac:dyDescent="0.2">
      <c r="A56" s="14"/>
      <c r="B56" s="7"/>
      <c r="C56" s="7"/>
      <c r="D56" s="7"/>
      <c r="E56" s="7"/>
      <c r="F56" s="7"/>
      <c r="G56" s="7"/>
      <c r="H56" s="7"/>
      <c r="I56" s="7"/>
      <c r="J56" s="7"/>
      <c r="K56" s="7"/>
      <c r="L56" s="12"/>
      <c r="M56" s="12"/>
    </row>
    <row r="57" spans="1:39" x14ac:dyDescent="0.2">
      <c r="A57" s="14"/>
      <c r="B57" s="7"/>
      <c r="C57" s="7"/>
      <c r="D57" s="7"/>
      <c r="E57" s="7"/>
      <c r="F57" s="7"/>
      <c r="G57" s="7"/>
      <c r="H57" s="7"/>
      <c r="I57" s="7"/>
      <c r="J57" s="7"/>
      <c r="K57" s="7"/>
    </row>
    <row r="58" spans="1:39" x14ac:dyDescent="0.2">
      <c r="A58" s="14"/>
      <c r="B58" s="7"/>
      <c r="C58" s="7"/>
      <c r="D58" s="7"/>
      <c r="E58" s="7"/>
      <c r="F58" s="7"/>
      <c r="G58" s="7"/>
      <c r="H58" s="7"/>
      <c r="I58" s="7"/>
      <c r="J58" s="7"/>
      <c r="K58" s="7"/>
      <c r="L58" s="12"/>
      <c r="M58" s="12"/>
    </row>
    <row r="59" spans="1:39" x14ac:dyDescent="0.2">
      <c r="A59" s="14"/>
      <c r="B59" s="7"/>
      <c r="C59" s="7"/>
      <c r="D59" s="7"/>
      <c r="E59" s="7"/>
      <c r="F59" s="7"/>
      <c r="G59" s="7"/>
      <c r="H59" s="7"/>
      <c r="I59" s="7"/>
      <c r="J59" s="7"/>
      <c r="K59" s="7"/>
    </row>
    <row r="60" spans="1:39" x14ac:dyDescent="0.2">
      <c r="A60" s="14"/>
      <c r="B60" s="7"/>
      <c r="C60" s="7"/>
      <c r="D60" s="7"/>
      <c r="E60" s="7"/>
      <c r="F60" s="7"/>
      <c r="G60" s="7"/>
      <c r="H60" s="7"/>
      <c r="I60" s="7"/>
      <c r="J60" s="7"/>
      <c r="K60" s="7"/>
    </row>
    <row r="61" spans="1:39" x14ac:dyDescent="0.2">
      <c r="A61" s="14"/>
      <c r="B61" s="7"/>
      <c r="C61" s="7"/>
      <c r="D61" s="7"/>
      <c r="E61" s="7"/>
      <c r="F61" s="7"/>
      <c r="G61" s="7"/>
      <c r="H61" s="7"/>
      <c r="I61" s="7"/>
      <c r="J61" s="7"/>
      <c r="K61" s="7"/>
    </row>
    <row r="62" spans="1:39" x14ac:dyDescent="0.2">
      <c r="A62" s="14"/>
      <c r="B62" s="7"/>
      <c r="C62" s="7"/>
      <c r="D62" s="7"/>
      <c r="E62" s="7"/>
      <c r="F62" s="7"/>
      <c r="G62" s="7"/>
      <c r="H62" s="7"/>
      <c r="I62" s="7"/>
      <c r="J62" s="7"/>
      <c r="K62" s="7"/>
    </row>
    <row r="63" spans="1:39" x14ac:dyDescent="0.2">
      <c r="A63" s="14"/>
      <c r="B63" s="7"/>
      <c r="C63" s="7"/>
      <c r="D63" s="7"/>
      <c r="E63" s="7"/>
      <c r="F63" s="7"/>
      <c r="G63" s="7"/>
      <c r="H63" s="7"/>
      <c r="I63" s="7"/>
      <c r="J63" s="7"/>
      <c r="K63" s="7"/>
    </row>
    <row r="64" spans="1:39" x14ac:dyDescent="0.2">
      <c r="A64" s="14"/>
      <c r="B64" s="7"/>
      <c r="C64" s="7"/>
      <c r="D64" s="7"/>
      <c r="E64" s="7"/>
      <c r="F64" s="7"/>
      <c r="G64" s="7"/>
      <c r="H64" s="7"/>
      <c r="I64" s="7"/>
      <c r="J64" s="7"/>
      <c r="K64" s="7"/>
    </row>
    <row r="65" spans="1:11" x14ac:dyDescent="0.2">
      <c r="A65" s="14"/>
      <c r="B65" s="7"/>
      <c r="C65" s="7"/>
      <c r="D65" s="7"/>
      <c r="E65" s="7"/>
      <c r="F65" s="7"/>
      <c r="G65" s="7"/>
      <c r="H65" s="7"/>
      <c r="I65" s="7"/>
      <c r="J65" s="7"/>
      <c r="K65" s="7"/>
    </row>
    <row r="66" spans="1:11" x14ac:dyDescent="0.2">
      <c r="A66" s="14"/>
      <c r="B66" s="7"/>
      <c r="C66" s="7"/>
      <c r="D66" s="7"/>
      <c r="E66" s="7"/>
      <c r="F66" s="7"/>
      <c r="G66" s="7"/>
      <c r="H66" s="7"/>
      <c r="I66" s="7"/>
      <c r="J66" s="7"/>
      <c r="K66" s="7"/>
    </row>
    <row r="67" spans="1:11" x14ac:dyDescent="0.2">
      <c r="A67" s="14"/>
      <c r="B67" s="7"/>
      <c r="C67" s="7"/>
      <c r="D67" s="7"/>
      <c r="E67" s="7"/>
      <c r="F67" s="7"/>
      <c r="G67" s="7"/>
      <c r="H67" s="7"/>
      <c r="I67" s="7"/>
      <c r="J67" s="7"/>
      <c r="K67" s="7"/>
    </row>
    <row r="68" spans="1:11" x14ac:dyDescent="0.2">
      <c r="A68" s="14"/>
      <c r="B68" s="7"/>
      <c r="C68" s="7"/>
      <c r="D68" s="7"/>
      <c r="E68" s="7"/>
      <c r="F68" s="7"/>
      <c r="G68" s="7"/>
      <c r="H68" s="7"/>
      <c r="I68" s="7"/>
      <c r="J68" s="7"/>
      <c r="K68" s="7"/>
    </row>
    <row r="69" spans="1:11" x14ac:dyDescent="0.2">
      <c r="A69" s="14"/>
      <c r="B69" s="7"/>
      <c r="C69" s="7"/>
      <c r="D69" s="7"/>
      <c r="E69" s="7"/>
      <c r="F69" s="7"/>
      <c r="G69" s="7"/>
      <c r="H69" s="7"/>
      <c r="I69" s="7"/>
      <c r="J69" s="7"/>
      <c r="K69" s="7"/>
    </row>
    <row r="70" spans="1:11" x14ac:dyDescent="0.2">
      <c r="A70" s="14"/>
      <c r="B70" s="7"/>
      <c r="C70" s="7"/>
      <c r="D70" s="7"/>
      <c r="E70" s="7"/>
      <c r="F70" s="7"/>
      <c r="G70" s="7"/>
      <c r="H70" s="7"/>
      <c r="I70" s="7"/>
      <c r="J70" s="7"/>
      <c r="K70" s="7"/>
    </row>
    <row r="71" spans="1:11" x14ac:dyDescent="0.2">
      <c r="A71" s="14"/>
      <c r="B71" s="7"/>
      <c r="C71" s="7"/>
      <c r="D71" s="7"/>
      <c r="E71" s="7"/>
      <c r="F71" s="7"/>
      <c r="G71" s="7"/>
      <c r="H71" s="7"/>
      <c r="I71" s="7"/>
      <c r="J71" s="7"/>
      <c r="K71" s="7"/>
    </row>
    <row r="72" spans="1:11" x14ac:dyDescent="0.2">
      <c r="A72" s="14"/>
      <c r="B72" s="7"/>
      <c r="C72" s="7"/>
      <c r="D72" s="7"/>
      <c r="E72" s="7"/>
      <c r="F72" s="7"/>
      <c r="G72" s="7"/>
      <c r="H72" s="7"/>
      <c r="I72" s="7"/>
      <c r="J72" s="7"/>
      <c r="K72" s="7"/>
    </row>
    <row r="73" spans="1:11" x14ac:dyDescent="0.2">
      <c r="A73" s="14"/>
      <c r="B73" s="7"/>
      <c r="C73" s="7"/>
      <c r="D73" s="7"/>
      <c r="E73" s="7"/>
      <c r="F73" s="7"/>
      <c r="G73" s="7"/>
      <c r="H73" s="7"/>
      <c r="I73" s="7"/>
      <c r="J73" s="7"/>
      <c r="K73" s="7"/>
    </row>
    <row r="74" spans="1:11" x14ac:dyDescent="0.2">
      <c r="A74" s="14"/>
      <c r="B74" s="17"/>
      <c r="C74" s="17"/>
      <c r="D74" s="17"/>
      <c r="E74" s="17"/>
      <c r="F74" s="17"/>
      <c r="G74" s="17"/>
      <c r="H74" s="17"/>
      <c r="I74" s="17"/>
      <c r="J74" s="18"/>
      <c r="K74" s="18"/>
    </row>
    <row r="75" spans="1:11" x14ac:dyDescent="0.2">
      <c r="A75" s="14"/>
      <c r="B75" s="14"/>
      <c r="C75" s="14"/>
      <c r="D75" s="14"/>
      <c r="E75" s="14"/>
      <c r="F75" s="14"/>
      <c r="G75" s="17"/>
      <c r="H75" s="17"/>
      <c r="I75" s="17"/>
      <c r="J75" s="17"/>
      <c r="K75" s="14"/>
    </row>
    <row r="76" spans="1:11" x14ac:dyDescent="0.2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</row>
    <row r="77" spans="1:11" x14ac:dyDescent="0.2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</row>
    <row r="78" spans="1:11" x14ac:dyDescent="0.2">
      <c r="A78" s="14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 spans="1:11" x14ac:dyDescent="0.2">
      <c r="A79" s="14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 spans="1:11" x14ac:dyDescent="0.2">
      <c r="A80" s="14"/>
      <c r="B80" s="8"/>
      <c r="C80" s="8"/>
      <c r="D80" s="8"/>
      <c r="E80" s="8"/>
      <c r="F80" s="8"/>
      <c r="G80" s="8"/>
      <c r="H80" s="8"/>
      <c r="I80" s="8"/>
      <c r="J80" s="8"/>
      <c r="K80" s="8"/>
    </row>
    <row r="81" spans="1:11" x14ac:dyDescent="0.2">
      <c r="A81" s="14"/>
      <c r="B81" s="8"/>
      <c r="C81" s="8"/>
      <c r="D81" s="8"/>
      <c r="E81" s="8"/>
      <c r="F81" s="8"/>
      <c r="G81" s="8"/>
      <c r="H81" s="8"/>
      <c r="I81" s="8"/>
      <c r="J81" s="8"/>
      <c r="K81" s="8"/>
    </row>
    <row r="82" spans="1:11" x14ac:dyDescent="0.2">
      <c r="K8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Screen</vt:lpstr>
      <vt:lpstr>Metrics</vt:lpstr>
      <vt:lpstr>Q. Model</vt:lpstr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Francisco Morais</cp:lastModifiedBy>
  <dcterms:modified xsi:type="dcterms:W3CDTF">2026-04-30T12:25:07Z</dcterms:modified>
</cp:coreProperties>
</file>