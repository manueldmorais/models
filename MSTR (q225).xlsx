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odel" sheetId="2" r:id="rId6"/>
    <sheet state="visible" name="Deb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tc={48b04f38-b824-44ed-b7ee-9f5f581c82a4}</author>
    <author>tc={57bad6db-a18b-455f-8ee3-9205a0f50c84}</author>
    <author>tc={8a47292e-ce0e-49ec-87d4-fd71ce7a9d7f}</author>
    <author>tc={b1a3c5ac-fb89-4a0e-aa41-5f52648bd2a3}</author>
  </authors>
  <commentList>
    <comment authorId="0" xr:uid="{48b04f38-b824-44ed-b7ee-9f5f581c82a4}" ref="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initial price at which a convertible bond can be converted into shares of MSTR.
</t>
      </text>
    </comment>
    <comment authorId="1" xr:uid="{57bad6db-a18b-455f-8ee3-9205a0f50c84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price of bitcoin as of 4:00pm on the day on which the offering for a bond priced.
</t>
      </text>
    </comment>
    <comment authorId="2" xr:uid="{8a47292e-ce0e-49ec-87d4-fd71ce7a9d7f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latest traded price of the bond per $100 principal amount.
</t>
      </text>
    </comment>
    <comment authorId="3" xr:uid="{b1a3c5ac-fb89-4a0e-aa41-5f52648bd2a3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Price of MSTR at the time of pricing of a bond.
</t>
      </text>
    </comment>
  </commentList>
</comments>
</file>

<file path=xl/sharedStrings.xml><?xml version="1.0" encoding="utf-8"?>
<sst xmlns="http://schemas.openxmlformats.org/spreadsheetml/2006/main" count="99" uniqueCount="98">
  <si>
    <t>NOTES:</t>
  </si>
  <si>
    <t>- Trading above the company's BTC holdings</t>
  </si>
  <si>
    <t xml:space="preserve">Founded </t>
  </si>
  <si>
    <t>- Trading way above the company's NAV</t>
  </si>
  <si>
    <t>CEO</t>
  </si>
  <si>
    <t>Micheal Saylor</t>
  </si>
  <si>
    <t>MSTR</t>
  </si>
  <si>
    <t>- The company itself does not produce anything and is a fund</t>
  </si>
  <si>
    <t>Headcount</t>
  </si>
  <si>
    <t xml:space="preserve">Price </t>
  </si>
  <si>
    <t>- If it's simply a fund it should trade in correlation with the value of the b.v.</t>
  </si>
  <si>
    <t>SHARES OUT</t>
  </si>
  <si>
    <t>15 SEP.</t>
  </si>
  <si>
    <t xml:space="preserve">BTC HELD </t>
  </si>
  <si>
    <t>MC</t>
  </si>
  <si>
    <t xml:space="preserve">- If there is a downturn in the price of BTC, it will have to cover it's debt </t>
  </si>
  <si>
    <t>AVG COST</t>
  </si>
  <si>
    <t xml:space="preserve">CASH </t>
  </si>
  <si>
    <t>- 1. by selling of their assets (which could cause the price to crash since they own 4% a.s.)</t>
  </si>
  <si>
    <t>BTC PRICE</t>
  </si>
  <si>
    <t xml:space="preserve">DEBT </t>
  </si>
  <si>
    <t xml:space="preserve">and create a disruption between S&amp;D due to the volume </t>
  </si>
  <si>
    <t>EV</t>
  </si>
  <si>
    <t>- 2. continue dilluting the stock lowering the NAV per share</t>
  </si>
  <si>
    <t>Net Cash</t>
  </si>
  <si>
    <t>Book/MC</t>
  </si>
  <si>
    <t>BTC/MC</t>
  </si>
  <si>
    <t>in thousands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</si>
  <si>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</si>
  <si>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</si>
  <si>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</si>
  <si>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</si>
  <si>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</si>
  <si>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</si>
  <si>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</si>
  <si>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</si>
  <si>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</si>
  <si>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</si>
  <si>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</si>
  <si>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https://cryptorank.io/price/bitcoin/analytics</t>
  </si>
  <si>
    <t>Bitcoin Held</t>
  </si>
  <si>
    <t>Average Price</t>
  </si>
  <si>
    <t>Cost Basis</t>
  </si>
  <si>
    <t xml:space="preserve">Cash </t>
  </si>
  <si>
    <t>Restricted cash</t>
  </si>
  <si>
    <t>Accounts receivables</t>
  </si>
  <si>
    <t>Prepaid expenses</t>
  </si>
  <si>
    <t>Digital assets</t>
  </si>
  <si>
    <t>P&amp;E</t>
  </si>
  <si>
    <t>Right-of-use assets</t>
  </si>
  <si>
    <t>Deposits and other</t>
  </si>
  <si>
    <t>Defered tax</t>
  </si>
  <si>
    <t>Total Assets</t>
  </si>
  <si>
    <t>Accounts payable</t>
  </si>
  <si>
    <t>Accured compensation</t>
  </si>
  <si>
    <t>Accured interest</t>
  </si>
  <si>
    <t>Current portion of long-term debt</t>
  </si>
  <si>
    <t>Deferred revenue (current)</t>
  </si>
  <si>
    <t>Long-term debt</t>
  </si>
  <si>
    <t>Deferred revenue (non-current)</t>
  </si>
  <si>
    <t>Operating lease</t>
  </si>
  <si>
    <t>Other long-term</t>
  </si>
  <si>
    <t>Deferred tax</t>
  </si>
  <si>
    <t>Total Liabilities</t>
  </si>
  <si>
    <t>Book Value</t>
  </si>
  <si>
    <t>T. Book Value</t>
  </si>
  <si>
    <t>NAME</t>
  </si>
  <si>
    <t>Issue Date</t>
  </si>
  <si>
    <t>Price</t>
  </si>
  <si>
    <t xml:space="preserve">Maturity </t>
  </si>
  <si>
    <t>Put Date</t>
  </si>
  <si>
    <t>Coupon</t>
  </si>
  <si>
    <t>Notional ($M)</t>
  </si>
  <si>
    <t>Market Val. ($M)</t>
  </si>
  <si>
    <t>BTC Par</t>
  </si>
  <si>
    <t>MSTR Par</t>
  </si>
  <si>
    <t>Con. Price</t>
  </si>
  <si>
    <t>Convert 2032</t>
  </si>
  <si>
    <t>18/6/2024</t>
  </si>
  <si>
    <t>16/6/2032</t>
  </si>
  <si>
    <t>16/6/2029</t>
  </si>
  <si>
    <t>Convert 2031</t>
  </si>
  <si>
    <t>19/3/2024</t>
  </si>
  <si>
    <t>16/3/2031</t>
  </si>
  <si>
    <t>16/9/2028</t>
  </si>
  <si>
    <t>Convert 2030 B</t>
  </si>
  <si>
    <t>22/2/2024</t>
  </si>
  <si>
    <t>Convert 2030 A</t>
  </si>
  <si>
    <t>16/3/2030</t>
  </si>
  <si>
    <t>16/2028</t>
  </si>
  <si>
    <t>Convert 2029</t>
  </si>
  <si>
    <t>22/11/2024</t>
  </si>
  <si>
    <t>Convert 2028</t>
  </si>
  <si>
    <t>20/9/2024</t>
  </si>
  <si>
    <t>15/9/2028</t>
  </si>
  <si>
    <t>16/9/2027</t>
  </si>
  <si>
    <t>Current BTC Price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</si>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</sst>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&quot;$&quot;#,##0"/>
    <numFmt numFmtId="166" formatCode="m/d/yyyy"/>
    <numFmt numFmtId="167" formatCode="_(&quot;$&quot;* #,##0_);_(&quot;$&quot;* \(#,##0\);_(&quot;$&quot;* &quot;-&quot;??_);_(@_)"/>
    <numFmt numFmtId="168" formatCode="0.00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0" fontId="2" numFmtId="3" xfId="0" applyAlignment="1" applyBorder="1" applyFont="1" applyNumberFormat="1">
      <alignment horizontal="right" readingOrder="0" vertical="bottom"/>
    </xf>
    <xf borderId="0" fillId="0" fontId="1" numFmtId="4" xfId="0" applyAlignment="1" applyFont="1" applyNumberFormat="1">
      <alignment readingOrder="0"/>
    </xf>
    <xf borderId="2" fillId="0" fontId="2" numFmtId="165" xfId="0" applyAlignment="1" applyBorder="1" applyFont="1" applyNumberFormat="1">
      <alignment horizontal="right" vertical="bottom"/>
    </xf>
    <xf borderId="2" fillId="0" fontId="2" numFmtId="165" xfId="0" applyAlignment="1" applyBorder="1" applyFont="1" applyNumberFormat="1">
      <alignment horizontal="right" readingOrder="0" vertical="bottom"/>
    </xf>
    <xf borderId="0" fillId="0" fontId="2" numFmtId="1" xfId="0" applyAlignment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1" numFmtId="0" xfId="0" applyAlignment="1" applyBorder="1" applyFont="1">
      <alignment readingOrder="0"/>
    </xf>
    <xf borderId="2" fillId="0" fontId="1" numFmtId="4" xfId="0" applyBorder="1" applyFont="1" applyNumberFormat="1"/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7" xfId="0" applyFont="1" applyNumberFormat="1"/>
    <xf borderId="0" fillId="0" fontId="1" numFmtId="3" xfId="0" applyAlignment="1" applyFont="1" applyNumberFormat="1">
      <alignment readingOrder="0"/>
    </xf>
    <xf borderId="0" fillId="0" fontId="1" numFmtId="4" xfId="0" applyFont="1" applyNumberFormat="1"/>
    <xf borderId="0" fillId="0" fontId="5" numFmtId="4" xfId="0" applyAlignment="1" applyFont="1" applyNumberFormat="1">
      <alignment readingOrder="0"/>
    </xf>
    <xf borderId="0" fillId="0" fontId="1" numFmtId="3" xfId="0" applyFont="1" applyNumberFormat="1"/>
    <xf borderId="0" fillId="0" fontId="1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right"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nuel" id="{f1495c74-16ea-437a-967b-33df795cc0f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" dT="2025-09-09T22:32:29.00" personId="{f1495c74-16ea-437a-967b-33df795cc0f6}" id="{57bad6db-a18b-455f-8ee3-9205a0f50c84}" done="0">
    <x18tc:text xml:space="preserve">The price of bitcoin as of 4:00pm on the day on which the offering for a bond priced.</x18tc:text>
  </x18tc:threadedComment>
  <x18tc:threadedComment ref="K2" dT="2025-09-09T22:31:54.00" personId="{f1495c74-16ea-437a-967b-33df795cc0f6}" id="{48b04f38-b824-44ed-b7ee-9f5f581c82a4}" done="0">
    <x18tc:text xml:space="preserve">The initial price at which a convertible bond can be converted into shares of MSTR.</x18tc:text>
  </x18tc:threadedComment>
  <x18tc:threadedComment ref="C2" dT="2025-09-09T22:32:59.00" personId="{f1495c74-16ea-437a-967b-33df795cc0f6}" id="{8a47292e-ce0e-49ec-87d4-fd71ce7a9d7f}" done="0">
    <x18tc:text xml:space="preserve">The latest traded price of the bond per $100 principal amount.</x18tc:text>
  </x18tc:threadedComment>
  <x18tc:threadedComment ref="J2" dT="2025-09-09T22:32:20.00" personId="{f1495c74-16ea-437a-967b-33df795cc0f6}" id="{b1a3c5ac-fb89-4a0e-aa41-5f52648bd2a3}" done="0">
    <x18tc:text xml:space="preserve">Price of MSTR at the time of pricing of a bond.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ryptorank.io/price/bitcoin/analytic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38"/>
    <col customWidth="1" min="3" max="8" width="12.63"/>
  </cols>
  <sheetData>
    <row r="2">
      <c r="A2" s="1" t="s">
        <v>0</v>
      </c>
    </row>
    <row r="4">
      <c r="A4" s="1" t="s">
        <v>1</v>
      </c>
      <c r="D4" s="2" t="s">
        <v>2</v>
      </c>
      <c r="E4" s="3">
        <v>1989.0</v>
      </c>
      <c r="F4" s="2"/>
      <c r="G4" s="4"/>
      <c r="H4" s="4"/>
    </row>
    <row r="5">
      <c r="A5" s="1" t="s">
        <v>3</v>
      </c>
      <c r="D5" s="2" t="s">
        <v>4</v>
      </c>
      <c r="E5" s="5" t="s">
        <v>5</v>
      </c>
      <c r="F5" s="2"/>
      <c r="G5" s="6" t="s">
        <v>6</v>
      </c>
      <c r="H5" s="7"/>
    </row>
    <row r="6">
      <c r="A6" s="1" t="s">
        <v>7</v>
      </c>
      <c r="D6" s="2" t="s">
        <v>8</v>
      </c>
      <c r="E6" s="2">
        <v>3422.0</v>
      </c>
      <c r="F6" s="2"/>
      <c r="G6" s="8" t="s">
        <v>9</v>
      </c>
      <c r="H6" s="9">
        <v>327.79</v>
      </c>
    </row>
    <row r="7">
      <c r="A7" s="1" t="s">
        <v>10</v>
      </c>
      <c r="D7" s="2"/>
      <c r="E7" s="2"/>
      <c r="F7" s="2"/>
      <c r="G7" s="8" t="s">
        <v>11</v>
      </c>
      <c r="H7" s="9">
        <v>263910.0</v>
      </c>
    </row>
    <row r="8">
      <c r="C8" s="10" t="s">
        <v>12</v>
      </c>
      <c r="D8" s="3" t="s">
        <v>13</v>
      </c>
      <c r="E8" s="3">
        <v>649870.0</v>
      </c>
      <c r="F8" s="2"/>
      <c r="G8" s="8" t="s">
        <v>14</v>
      </c>
      <c r="H8" s="11">
        <f>H6*H7</f>
        <v>86507058.9</v>
      </c>
    </row>
    <row r="9">
      <c r="A9" s="1" t="s">
        <v>15</v>
      </c>
      <c r="C9" s="10" t="s">
        <v>12</v>
      </c>
      <c r="D9" s="3" t="s">
        <v>16</v>
      </c>
      <c r="E9" s="3">
        <v>74433.0</v>
      </c>
      <c r="F9" s="2"/>
      <c r="G9" s="8" t="s">
        <v>17</v>
      </c>
      <c r="H9" s="12">
        <v>50095.0</v>
      </c>
    </row>
    <row r="10">
      <c r="A10" s="1" t="s">
        <v>18</v>
      </c>
      <c r="D10" s="3" t="s">
        <v>19</v>
      </c>
      <c r="E10" s="13">
        <f>IFERROR(__xludf.DUMMYFUNCTION("GOOGLEFINANCE(""BTC-USD"")"),63316.25)</f>
        <v>63316.25</v>
      </c>
      <c r="F10" s="2"/>
      <c r="G10" s="14" t="s">
        <v>20</v>
      </c>
      <c r="H10" s="12">
        <v>8162281.0</v>
      </c>
    </row>
    <row r="11">
      <c r="A11" s="1" t="s">
        <v>21</v>
      </c>
      <c r="D11" s="3"/>
      <c r="E11" s="2"/>
      <c r="F11" s="2"/>
      <c r="G11" s="14" t="s">
        <v>22</v>
      </c>
      <c r="H11" s="11">
        <f>H8+H10-H9</f>
        <v>94619244.9</v>
      </c>
    </row>
    <row r="12">
      <c r="A12" s="1" t="s">
        <v>23</v>
      </c>
      <c r="D12" s="2"/>
      <c r="E12" s="2"/>
      <c r="F12" s="2"/>
      <c r="G12" s="15" t="s">
        <v>24</v>
      </c>
      <c r="H12" s="11">
        <f>H9-H10</f>
        <v>-8112186</v>
      </c>
    </row>
    <row r="14">
      <c r="G14" s="16" t="s">
        <v>25</v>
      </c>
      <c r="H14" s="17">
        <f>H8/Model!M31</f>
        <v>1.717399278</v>
      </c>
    </row>
    <row r="15">
      <c r="G15" s="16" t="s">
        <v>26</v>
      </c>
      <c r="H15" s="17">
        <f>H8*1000/(E8*E10)</f>
        <v>2.102373495</v>
      </c>
    </row>
    <row r="17">
      <c r="B17" s="18"/>
    </row>
    <row r="18">
      <c r="B18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5"/>
    <col customWidth="1" min="8" max="9" width="13.75"/>
    <col customWidth="1" min="12" max="12" width="14.0"/>
    <col customWidth="1" min="14" max="14" width="12.63"/>
    <col customWidth="1" min="16" max="16" width="12.63"/>
    <col customWidth="1" min="17" max="17" width="13.0"/>
    <col customWidth="1" min="18" max="18" width="14.38"/>
  </cols>
  <sheetData>
    <row r="1">
      <c r="A1" s="19"/>
      <c r="K1" s="20"/>
      <c r="L1" s="20"/>
    </row>
    <row r="2">
      <c r="A2" s="1" t="s">
        <v>27</v>
      </c>
      <c r="B2" s="1"/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>
      <c r="A3" s="21" t="s">
        <v>39</v>
      </c>
      <c r="B3" s="1"/>
      <c r="C3" s="1"/>
      <c r="D3" s="1"/>
      <c r="E3" s="1"/>
      <c r="F3" s="1"/>
      <c r="G3" s="1"/>
      <c r="H3" s="22"/>
      <c r="I3" s="22"/>
      <c r="J3" s="22"/>
    </row>
    <row r="4">
      <c r="A4" s="10" t="s">
        <v>40</v>
      </c>
      <c r="B4" s="10"/>
      <c r="C4" s="23">
        <v>132500.0</v>
      </c>
      <c r="D4" s="23">
        <v>140000.0</v>
      </c>
      <c r="E4" s="23">
        <v>152333.0</v>
      </c>
      <c r="F4" s="23">
        <v>158245.0</v>
      </c>
      <c r="G4" s="23">
        <v>189150.0</v>
      </c>
      <c r="H4" s="23">
        <v>214278.0</v>
      </c>
      <c r="I4" s="23">
        <v>226331.0</v>
      </c>
      <c r="J4" s="23">
        <v>252220.0</v>
      </c>
      <c r="K4" s="23">
        <v>447470.0</v>
      </c>
      <c r="L4" s="23">
        <v>528185.0</v>
      </c>
      <c r="M4" s="23">
        <v>597325.0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10" t="s">
        <v>41</v>
      </c>
      <c r="B5" s="10"/>
      <c r="C5" s="23">
        <f t="shared" ref="C5:M5" si="1">C12/C4*1000</f>
        <v>13887.00377</v>
      </c>
      <c r="D5" s="23">
        <f t="shared" si="1"/>
        <v>14288.51429</v>
      </c>
      <c r="E5" s="23">
        <f t="shared" si="1"/>
        <v>15251.14059</v>
      </c>
      <c r="F5" s="23">
        <f t="shared" si="1"/>
        <v>15491.00446</v>
      </c>
      <c r="G5" s="23">
        <f t="shared" si="1"/>
        <v>19172.48744</v>
      </c>
      <c r="H5" s="23">
        <f t="shared" si="1"/>
        <v>23680.22849</v>
      </c>
      <c r="I5" s="23">
        <f t="shared" si="1"/>
        <v>25130.84818</v>
      </c>
      <c r="J5" s="23">
        <f t="shared" si="1"/>
        <v>27162.31465</v>
      </c>
      <c r="K5" s="23">
        <f t="shared" si="1"/>
        <v>53432.34854</v>
      </c>
      <c r="L5" s="23">
        <f t="shared" si="1"/>
        <v>82444.74758</v>
      </c>
      <c r="M5" s="23">
        <f t="shared" si="1"/>
        <v>107751.7231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10" t="s">
        <v>42</v>
      </c>
      <c r="B6" s="10"/>
      <c r="C6" s="23">
        <v>30137.0</v>
      </c>
      <c r="D6" s="23">
        <v>29803.0</v>
      </c>
      <c r="E6" s="23">
        <v>29668.0</v>
      </c>
      <c r="F6" s="23">
        <v>29582.0</v>
      </c>
      <c r="G6" s="23">
        <v>31168.0</v>
      </c>
      <c r="H6" s="23">
        <v>35164.0</v>
      </c>
      <c r="I6" s="23">
        <v>36798.0</v>
      </c>
      <c r="J6" s="23">
        <v>39266.0</v>
      </c>
      <c r="K6" s="23">
        <v>62503.0</v>
      </c>
      <c r="L6" s="23">
        <v>67457.0</v>
      </c>
      <c r="M6" s="23">
        <v>70982.0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23"/>
      <c r="L7" s="10"/>
      <c r="M7" s="23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0" t="s">
        <v>43</v>
      </c>
      <c r="B8" s="10"/>
      <c r="C8" s="23">
        <v>43835.0</v>
      </c>
      <c r="D8" s="10">
        <v>94311.0</v>
      </c>
      <c r="E8" s="23">
        <v>65968.0</v>
      </c>
      <c r="F8" s="23">
        <v>45009.0</v>
      </c>
      <c r="G8" s="23">
        <v>46817.0</v>
      </c>
      <c r="H8" s="10">
        <v>81326.0</v>
      </c>
      <c r="I8" s="23">
        <v>66923.0</v>
      </c>
      <c r="J8" s="23">
        <v>46343.0</v>
      </c>
      <c r="K8" s="23">
        <v>38117.0</v>
      </c>
      <c r="L8" s="23">
        <v>60298.0</v>
      </c>
      <c r="M8" s="23">
        <v>50095.0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10" t="s">
        <v>44</v>
      </c>
      <c r="B9" s="10"/>
      <c r="C9" s="23">
        <v>7033.0</v>
      </c>
      <c r="D9" s="10">
        <v>2153.0</v>
      </c>
      <c r="E9" s="23">
        <v>2085.0</v>
      </c>
      <c r="F9" s="23">
        <v>1865.0</v>
      </c>
      <c r="G9" s="23">
        <v>1856.0</v>
      </c>
      <c r="H9" s="10">
        <v>2402.0</v>
      </c>
      <c r="I9" s="23">
        <v>1878.0</v>
      </c>
      <c r="J9" s="23">
        <v>1862.0</v>
      </c>
      <c r="K9" s="23">
        <v>1780.0</v>
      </c>
      <c r="L9" s="23">
        <v>1960.0</v>
      </c>
      <c r="M9" s="23">
        <v>2037.0</v>
      </c>
      <c r="N9" s="10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10" t="s">
        <v>45</v>
      </c>
      <c r="B10" s="10"/>
      <c r="C10" s="23">
        <v>189280.0</v>
      </c>
      <c r="D10" s="10">
        <v>139178.0</v>
      </c>
      <c r="E10" s="23">
        <v>121901.0</v>
      </c>
      <c r="F10" s="23">
        <v>128650.0</v>
      </c>
      <c r="G10" s="23">
        <v>183815.0</v>
      </c>
      <c r="H10" s="10">
        <v>115150.0</v>
      </c>
      <c r="I10" s="23">
        <v>112234.0</v>
      </c>
      <c r="J10" s="23">
        <v>107169.0</v>
      </c>
      <c r="K10" s="23">
        <v>181203.0</v>
      </c>
      <c r="L10" s="23">
        <v>104585.0</v>
      </c>
      <c r="M10" s="23">
        <v>117870.0</v>
      </c>
      <c r="N10" s="10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10" t="s">
        <v>46</v>
      </c>
      <c r="B11" s="10"/>
      <c r="C11" s="23">
        <v>24418.0</v>
      </c>
      <c r="D11" s="10">
        <v>24034.0</v>
      </c>
      <c r="E11" s="23">
        <v>19680.0</v>
      </c>
      <c r="F11" s="23">
        <v>24041.0</v>
      </c>
      <c r="G11" s="23">
        <v>35407.0</v>
      </c>
      <c r="H11" s="10">
        <v>42714.0</v>
      </c>
      <c r="I11" s="23">
        <v>27234.0</v>
      </c>
      <c r="J11" s="23">
        <v>30668.0</v>
      </c>
      <c r="K11" s="23">
        <v>31224.0</v>
      </c>
      <c r="L11" s="23">
        <v>36769.0</v>
      </c>
      <c r="M11" s="23">
        <v>43459.0</v>
      </c>
      <c r="N11" s="10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10" t="s">
        <v>47</v>
      </c>
      <c r="B12" s="10"/>
      <c r="C12" s="23">
        <v>1840028.0</v>
      </c>
      <c r="D12" s="10">
        <v>2000392.0</v>
      </c>
      <c r="E12" s="23">
        <v>2323252.0</v>
      </c>
      <c r="F12" s="23">
        <v>2451374.0</v>
      </c>
      <c r="G12" s="23">
        <v>3626476.0</v>
      </c>
      <c r="H12" s="10">
        <v>5074152.0</v>
      </c>
      <c r="I12" s="23">
        <v>5687890.0</v>
      </c>
      <c r="J12" s="23">
        <v>6850879.0</v>
      </c>
      <c r="K12" s="23">
        <v>2.3909373E7</v>
      </c>
      <c r="L12" s="23">
        <v>4.3546079E7</v>
      </c>
      <c r="M12" s="23">
        <v>6.4362798E7</v>
      </c>
      <c r="N12" s="10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10" t="s">
        <v>48</v>
      </c>
      <c r="B13" s="10"/>
      <c r="C13" s="23">
        <v>32311.0</v>
      </c>
      <c r="D13" s="10">
        <v>31338.0</v>
      </c>
      <c r="E13" s="23">
        <v>30507.0</v>
      </c>
      <c r="F13" s="23">
        <v>30192.0</v>
      </c>
      <c r="G13" s="23">
        <v>28941.0</v>
      </c>
      <c r="H13" s="10">
        <v>29108.0</v>
      </c>
      <c r="I13" s="23">
        <v>28332.0</v>
      </c>
      <c r="J13" s="23">
        <v>27517.0</v>
      </c>
      <c r="K13" s="23">
        <v>26327.0</v>
      </c>
      <c r="L13" s="23">
        <v>28335.0</v>
      </c>
      <c r="M13" s="23">
        <v>30203.0</v>
      </c>
      <c r="N13" s="10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10" t="s">
        <v>49</v>
      </c>
      <c r="B14" s="10"/>
      <c r="C14" s="23">
        <v>61299.0</v>
      </c>
      <c r="D14" s="10">
        <v>59655.0</v>
      </c>
      <c r="E14" s="23">
        <v>58264.0</v>
      </c>
      <c r="F14" s="23">
        <v>54542.0</v>
      </c>
      <c r="G14" s="23">
        <v>57343.0</v>
      </c>
      <c r="H14" s="10">
        <v>55093.0</v>
      </c>
      <c r="I14" s="23">
        <v>53591.0</v>
      </c>
      <c r="J14" s="23">
        <v>55308.0</v>
      </c>
      <c r="K14" s="23">
        <v>54560.0</v>
      </c>
      <c r="L14" s="23">
        <v>53070.0</v>
      </c>
      <c r="M14" s="23">
        <v>51573.0</v>
      </c>
      <c r="N14" s="10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10" t="s">
        <v>50</v>
      </c>
      <c r="B15" s="10"/>
      <c r="C15" s="23">
        <v>23916.0</v>
      </c>
      <c r="D15" s="10">
        <v>23825.0</v>
      </c>
      <c r="E15" s="23">
        <v>22421.0</v>
      </c>
      <c r="F15" s="23">
        <v>24156.0</v>
      </c>
      <c r="G15" s="23">
        <v>24300.0</v>
      </c>
      <c r="H15" s="10">
        <v>31757.0</v>
      </c>
      <c r="I15" s="23">
        <v>43449.0</v>
      </c>
      <c r="J15" s="23">
        <v>51109.0</v>
      </c>
      <c r="K15" s="23">
        <v>75794.0</v>
      </c>
      <c r="L15" s="23">
        <v>83261.0</v>
      </c>
      <c r="M15" s="23">
        <v>109664.0</v>
      </c>
      <c r="N15" s="10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10" t="s">
        <v>51</v>
      </c>
      <c r="B16" s="10"/>
      <c r="C16" s="23">
        <v>188152.0</v>
      </c>
      <c r="D16" s="10">
        <v>651516.0</v>
      </c>
      <c r="E16" s="23">
        <v>719026.0</v>
      </c>
      <c r="F16" s="23">
        <v>614112.0</v>
      </c>
      <c r="G16" s="23">
        <v>757573.0</v>
      </c>
      <c r="H16" s="10">
        <v>919837.0</v>
      </c>
      <c r="I16" s="23">
        <v>1031542.0</v>
      </c>
      <c r="J16" s="23">
        <v>1172726.0</v>
      </c>
      <c r="K16" s="23">
        <v>1525307.0</v>
      </c>
      <c r="L16" s="23">
        <v>5403.0</v>
      </c>
      <c r="M16" s="23">
        <v>5716.0</v>
      </c>
      <c r="N16" s="10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A17" s="25" t="s">
        <v>52</v>
      </c>
      <c r="B17" s="10"/>
      <c r="C17" s="23">
        <f t="shared" ref="C17:M17" si="2">SUM(C8:C16)</f>
        <v>2410272</v>
      </c>
      <c r="D17" s="23">
        <f t="shared" si="2"/>
        <v>3026402</v>
      </c>
      <c r="E17" s="23">
        <f t="shared" si="2"/>
        <v>3363104</v>
      </c>
      <c r="F17" s="23">
        <f t="shared" si="2"/>
        <v>3373941</v>
      </c>
      <c r="G17" s="23">
        <f t="shared" si="2"/>
        <v>4762528</v>
      </c>
      <c r="H17" s="23">
        <f t="shared" si="2"/>
        <v>6351539</v>
      </c>
      <c r="I17" s="23">
        <f t="shared" si="2"/>
        <v>7053073</v>
      </c>
      <c r="J17" s="23">
        <f t="shared" si="2"/>
        <v>8343581</v>
      </c>
      <c r="K17" s="23">
        <f t="shared" si="2"/>
        <v>25843685</v>
      </c>
      <c r="L17" s="23">
        <f t="shared" si="2"/>
        <v>43919760</v>
      </c>
      <c r="M17" s="23">
        <f t="shared" si="2"/>
        <v>64773415</v>
      </c>
      <c r="N17" s="10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>
      <c r="A18" s="10"/>
      <c r="B18" s="10"/>
      <c r="C18" s="23"/>
      <c r="D18" s="10"/>
      <c r="E18" s="23"/>
      <c r="F18" s="23"/>
      <c r="G18" s="23"/>
      <c r="H18" s="10"/>
      <c r="I18" s="23"/>
      <c r="J18" s="23"/>
      <c r="K18" s="24"/>
      <c r="L18" s="24"/>
      <c r="M18" s="24"/>
      <c r="N18" s="10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>
      <c r="A19" s="10" t="s">
        <v>53</v>
      </c>
      <c r="B19" s="10"/>
      <c r="C19" s="23">
        <v>42976.0</v>
      </c>
      <c r="D19" s="10">
        <v>50604.0</v>
      </c>
      <c r="E19" s="23">
        <v>33660.0</v>
      </c>
      <c r="F19" s="23">
        <v>34306.0</v>
      </c>
      <c r="G19" s="23">
        <v>43090.0</v>
      </c>
      <c r="H19" s="10">
        <v>41866.0</v>
      </c>
      <c r="I19" s="23">
        <v>44188.0</v>
      </c>
      <c r="J19" s="23">
        <v>45714.0</v>
      </c>
      <c r="K19" s="23">
        <v>52982.0</v>
      </c>
      <c r="L19" s="23">
        <v>53716.0</v>
      </c>
      <c r="M19" s="23">
        <v>44220.0</v>
      </c>
      <c r="N19" s="10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10" t="s">
        <v>54</v>
      </c>
      <c r="B20" s="10"/>
      <c r="C20" s="23">
        <v>53716.0</v>
      </c>
      <c r="D20" s="10">
        <v>39199.0</v>
      </c>
      <c r="E20" s="23">
        <v>41492.0</v>
      </c>
      <c r="F20" s="23">
        <v>43405.0</v>
      </c>
      <c r="G20" s="23">
        <v>50045.0</v>
      </c>
      <c r="H20" s="10">
        <v>40617.0</v>
      </c>
      <c r="I20" s="23">
        <v>46853.0</v>
      </c>
      <c r="J20" s="23">
        <v>51686.0</v>
      </c>
      <c r="K20" s="23">
        <v>58362.0</v>
      </c>
      <c r="L20" s="23">
        <v>32785.0</v>
      </c>
      <c r="M20" s="23">
        <v>50132.0</v>
      </c>
      <c r="N20" s="10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10" t="s">
        <v>55</v>
      </c>
      <c r="B21" s="10"/>
      <c r="C21" s="23">
        <v>2829.0</v>
      </c>
      <c r="D21" s="10">
        <v>10368.0</v>
      </c>
      <c r="E21" s="23">
        <v>1493.0</v>
      </c>
      <c r="F21" s="23">
        <v>10368.0</v>
      </c>
      <c r="G21" s="23">
        <v>1493.0</v>
      </c>
      <c r="H21" s="10">
        <v>10878.0</v>
      </c>
      <c r="I21" s="23">
        <v>5066.0</v>
      </c>
      <c r="J21" s="23">
        <v>5800.0</v>
      </c>
      <c r="K21" s="23">
        <v>5549.0</v>
      </c>
      <c r="L21" s="23">
        <v>5970.0</v>
      </c>
      <c r="M21" s="23">
        <v>5620.0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>
      <c r="A22" s="10" t="s">
        <v>56</v>
      </c>
      <c r="B22" s="24"/>
      <c r="C22" s="23">
        <v>454.0</v>
      </c>
      <c r="D22" s="10">
        <v>460.0</v>
      </c>
      <c r="E22" s="23">
        <v>468.0</v>
      </c>
      <c r="F22" s="23">
        <v>475.0</v>
      </c>
      <c r="G22" s="23">
        <v>483.0</v>
      </c>
      <c r="H22" s="10">
        <v>492.0</v>
      </c>
      <c r="I22" s="23">
        <v>145119.0</v>
      </c>
      <c r="J22" s="23">
        <v>509.0</v>
      </c>
      <c r="K22" s="23">
        <v>517.0</v>
      </c>
      <c r="L22" s="23">
        <v>525.0</v>
      </c>
      <c r="M22" s="23">
        <v>349.0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>
      <c r="A23" s="10" t="s">
        <v>57</v>
      </c>
      <c r="B23" s="10"/>
      <c r="C23" s="23">
        <v>217428.0</v>
      </c>
      <c r="D23" s="10">
        <v>211768.0</v>
      </c>
      <c r="E23" s="23">
        <v>195817.0</v>
      </c>
      <c r="F23" s="23">
        <v>179167.0</v>
      </c>
      <c r="G23" s="23">
        <v>228162.0</v>
      </c>
      <c r="H23" s="10">
        <v>215955.0</v>
      </c>
      <c r="I23" s="23">
        <v>204837.0</v>
      </c>
      <c r="J23" s="23">
        <v>184402.0</v>
      </c>
      <c r="K23" s="23">
        <v>237974.0</v>
      </c>
      <c r="L23" s="23">
        <v>215693.0</v>
      </c>
      <c r="M23" s="23">
        <v>214251.0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>
      <c r="A24" s="10" t="s">
        <v>58</v>
      </c>
      <c r="B24" s="10"/>
      <c r="C24" s="23">
        <v>2378560.0</v>
      </c>
      <c r="D24" s="10">
        <v>2175918.0</v>
      </c>
      <c r="E24" s="23">
        <v>2177974.0</v>
      </c>
      <c r="F24" s="23">
        <v>2180038.0</v>
      </c>
      <c r="G24" s="23">
        <v>2182108.0</v>
      </c>
      <c r="H24" s="10">
        <v>3558801.0</v>
      </c>
      <c r="I24" s="23">
        <v>3703381.0</v>
      </c>
      <c r="J24" s="23">
        <v>4211949.0</v>
      </c>
      <c r="K24" s="23">
        <v>7191158.0</v>
      </c>
      <c r="L24" s="23">
        <v>8140156.0</v>
      </c>
      <c r="M24" s="23">
        <v>8162281.0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>
      <c r="A25" s="10" t="s">
        <v>59</v>
      </c>
      <c r="B25" s="10"/>
      <c r="C25" s="23">
        <v>12763.0</v>
      </c>
      <c r="D25" s="10">
        <v>11646.0</v>
      </c>
      <c r="E25" s="23">
        <v>11244.0</v>
      </c>
      <c r="F25" s="23">
        <v>7638.0</v>
      </c>
      <c r="G25" s="23">
        <v>8524.0</v>
      </c>
      <c r="H25" s="10">
        <v>6486.0</v>
      </c>
      <c r="I25" s="23">
        <v>5964.0</v>
      </c>
      <c r="J25" s="23">
        <v>6344.0</v>
      </c>
      <c r="K25" s="23">
        <v>4970.0</v>
      </c>
      <c r="L25" s="23">
        <v>3981.0</v>
      </c>
      <c r="M25" s="23">
        <v>4197.0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>
      <c r="A26" s="10" t="s">
        <v>60</v>
      </c>
      <c r="B26" s="10"/>
      <c r="C26" s="23">
        <v>67344.0</v>
      </c>
      <c r="D26" s="10">
        <v>65355.0</v>
      </c>
      <c r="E26" s="23">
        <v>63814.0</v>
      </c>
      <c r="F26" s="23">
        <v>59720.0</v>
      </c>
      <c r="G26" s="23">
        <v>61086.0</v>
      </c>
      <c r="H26" s="10">
        <v>58430.0</v>
      </c>
      <c r="I26" s="23">
        <v>56544.0</v>
      </c>
      <c r="J26" s="23">
        <v>57495.0</v>
      </c>
      <c r="K26" s="23">
        <v>56403.0</v>
      </c>
      <c r="L26" s="23">
        <v>53691.0</v>
      </c>
      <c r="M26" s="23">
        <v>51218.0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>
      <c r="A27" s="10" t="s">
        <v>61</v>
      </c>
      <c r="B27" s="10"/>
      <c r="C27" s="23">
        <v>17124.0</v>
      </c>
      <c r="D27" s="10">
        <v>17675.0</v>
      </c>
      <c r="E27" s="23">
        <v>17826.0</v>
      </c>
      <c r="F27" s="23">
        <v>18231.0</v>
      </c>
      <c r="G27" s="23">
        <v>22208.0</v>
      </c>
      <c r="H27" s="10">
        <v>17552.0</v>
      </c>
      <c r="I27" s="23">
        <v>5965.0</v>
      </c>
      <c r="J27" s="23">
        <v>5676.0</v>
      </c>
      <c r="K27" s="23">
        <v>5379.0</v>
      </c>
      <c r="L27" s="23">
        <v>4439.0</v>
      </c>
      <c r="M27" s="23">
        <v>4672.0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>
      <c r="A28" s="10" t="s">
        <v>62</v>
      </c>
      <c r="B28" s="10"/>
      <c r="C28" s="23">
        <v>198.0</v>
      </c>
      <c r="D28" s="10">
        <v>198.0</v>
      </c>
      <c r="E28" s="23">
        <v>198.0</v>
      </c>
      <c r="F28" s="23">
        <v>198.0</v>
      </c>
      <c r="G28" s="23">
        <v>357.0</v>
      </c>
      <c r="H28" s="10">
        <v>357.0</v>
      </c>
      <c r="I28" s="23">
        <v>357.0</v>
      </c>
      <c r="J28" s="23">
        <v>357.0</v>
      </c>
      <c r="K28" s="23">
        <v>407.0</v>
      </c>
      <c r="L28" s="23">
        <v>1883071.0</v>
      </c>
      <c r="M28" s="23">
        <v>5865510.0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>
      <c r="A29" s="25" t="s">
        <v>63</v>
      </c>
      <c r="B29" s="24"/>
      <c r="C29" s="26">
        <f t="shared" ref="C29:M29" si="3">SUM(C19:C28)</f>
        <v>2793392</v>
      </c>
      <c r="D29" s="26">
        <f t="shared" si="3"/>
        <v>2583191</v>
      </c>
      <c r="E29" s="26">
        <f t="shared" si="3"/>
        <v>2543986</v>
      </c>
      <c r="F29" s="26">
        <f t="shared" si="3"/>
        <v>2533546</v>
      </c>
      <c r="G29" s="26">
        <f t="shared" si="3"/>
        <v>2597556</v>
      </c>
      <c r="H29" s="26">
        <f t="shared" si="3"/>
        <v>3951434</v>
      </c>
      <c r="I29" s="26">
        <f t="shared" si="3"/>
        <v>4218274</v>
      </c>
      <c r="J29" s="26">
        <f t="shared" si="3"/>
        <v>4569932</v>
      </c>
      <c r="K29" s="26">
        <f t="shared" si="3"/>
        <v>7613701</v>
      </c>
      <c r="L29" s="26">
        <f t="shared" si="3"/>
        <v>10394027</v>
      </c>
      <c r="M29" s="26">
        <f t="shared" si="3"/>
        <v>14402450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>
      <c r="A30" s="24"/>
      <c r="B30" s="24"/>
      <c r="C30" s="24"/>
      <c r="D30" s="24"/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>
      <c r="A31" s="25" t="s">
        <v>64</v>
      </c>
      <c r="B31" s="24"/>
      <c r="C31" s="26">
        <f t="shared" ref="C31:M31" si="4">C17-C29</f>
        <v>-383120</v>
      </c>
      <c r="D31" s="26">
        <f t="shared" si="4"/>
        <v>443211</v>
      </c>
      <c r="E31" s="26">
        <f t="shared" si="4"/>
        <v>819118</v>
      </c>
      <c r="F31" s="26">
        <f t="shared" si="4"/>
        <v>840395</v>
      </c>
      <c r="G31" s="26">
        <f t="shared" si="4"/>
        <v>2164972</v>
      </c>
      <c r="H31" s="26">
        <f t="shared" si="4"/>
        <v>2400105</v>
      </c>
      <c r="I31" s="26">
        <f t="shared" si="4"/>
        <v>2834799</v>
      </c>
      <c r="J31" s="26">
        <f t="shared" si="4"/>
        <v>3773649</v>
      </c>
      <c r="K31" s="26">
        <f t="shared" si="4"/>
        <v>18229984</v>
      </c>
      <c r="L31" s="26">
        <f t="shared" si="4"/>
        <v>33525733</v>
      </c>
      <c r="M31" s="26">
        <f t="shared" si="4"/>
        <v>50370965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>
      <c r="A32" s="25" t="s">
        <v>65</v>
      </c>
      <c r="B32" s="24"/>
      <c r="C32" s="26">
        <f t="shared" ref="C32:M32" si="5">SUM(C8:C13)-C29</f>
        <v>-656487</v>
      </c>
      <c r="D32" s="26">
        <f t="shared" si="5"/>
        <v>-291785</v>
      </c>
      <c r="E32" s="26">
        <f t="shared" si="5"/>
        <v>19407</v>
      </c>
      <c r="F32" s="26">
        <f t="shared" si="5"/>
        <v>147585</v>
      </c>
      <c r="G32" s="26">
        <f t="shared" si="5"/>
        <v>1325756</v>
      </c>
      <c r="H32" s="26">
        <f t="shared" si="5"/>
        <v>1393418</v>
      </c>
      <c r="I32" s="26">
        <f t="shared" si="5"/>
        <v>1706217</v>
      </c>
      <c r="J32" s="26">
        <f t="shared" si="5"/>
        <v>2494506</v>
      </c>
      <c r="K32" s="26">
        <f t="shared" si="5"/>
        <v>16574323</v>
      </c>
      <c r="L32" s="26">
        <f t="shared" si="5"/>
        <v>33383999</v>
      </c>
      <c r="M32" s="26">
        <f t="shared" si="5"/>
        <v>50204012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>
      <c r="A33" s="24"/>
      <c r="B33" s="24"/>
      <c r="C33" s="24"/>
      <c r="D33" s="24"/>
      <c r="E33" s="24"/>
      <c r="F33" s="24"/>
      <c r="G33" s="24"/>
      <c r="H33" s="24"/>
      <c r="I33" s="10"/>
      <c r="J33" s="10"/>
      <c r="K33" s="10"/>
      <c r="L33" s="10"/>
      <c r="M33" s="24"/>
      <c r="N33" s="24"/>
      <c r="O33" s="24"/>
      <c r="P33" s="24"/>
      <c r="Q33" s="27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>
      <c r="A34" s="24"/>
      <c r="B34" s="24"/>
      <c r="C34" s="24"/>
      <c r="D34" s="24"/>
      <c r="E34" s="24"/>
      <c r="F34" s="24"/>
      <c r="G34" s="24"/>
      <c r="H34" s="24"/>
      <c r="I34" s="10"/>
      <c r="J34" s="10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>
      <c r="A38" s="24"/>
      <c r="B38" s="24"/>
      <c r="C38" s="24"/>
      <c r="D38" s="24"/>
      <c r="E38" s="24"/>
      <c r="F38" s="24"/>
      <c r="G38" s="24"/>
      <c r="H38" s="24"/>
      <c r="I38" s="10"/>
      <c r="J38" s="10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>
      <c r="A40" s="24"/>
      <c r="B40" s="24"/>
      <c r="C40" s="24"/>
      <c r="D40" s="24"/>
      <c r="E40" s="24"/>
      <c r="F40" s="24"/>
      <c r="G40" s="24"/>
      <c r="H40" s="24"/>
      <c r="I40" s="10"/>
      <c r="J40" s="10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24"/>
      <c r="B42" s="24"/>
      <c r="C42" s="24"/>
      <c r="D42" s="24"/>
      <c r="E42" s="24"/>
      <c r="F42" s="24"/>
      <c r="G42" s="24"/>
      <c r="H42" s="24"/>
      <c r="I42" s="10"/>
      <c r="J42" s="10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>
      <c r="A44" s="24"/>
      <c r="B44" s="24"/>
      <c r="C44" s="24"/>
      <c r="D44" s="24"/>
      <c r="E44" s="24"/>
      <c r="F44" s="24"/>
      <c r="G44" s="24"/>
      <c r="H44" s="24"/>
      <c r="I44" s="10"/>
      <c r="J44" s="10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>
      <c r="A46" s="28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9"/>
      <c r="M48" s="30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9"/>
      <c r="M49" s="30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10"/>
      <c r="L50" s="31"/>
      <c r="M50" s="30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31"/>
      <c r="M51" s="30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31"/>
      <c r="M52" s="32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1.0"/>
    <col customWidth="1" min="7" max="8" width="13.75"/>
    <col customWidth="1" min="11" max="11" width="14.0"/>
    <col customWidth="1" min="13" max="13" width="12.63"/>
    <col customWidth="1" min="15" max="15" width="12.63"/>
    <col customWidth="1" min="16" max="16" width="13.0"/>
    <col customWidth="1" min="17" max="17" width="14.38"/>
  </cols>
  <sheetData>
    <row r="1">
      <c r="A1" s="19"/>
      <c r="J1" s="20"/>
      <c r="K1" s="20"/>
    </row>
    <row r="2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</row>
    <row r="3">
      <c r="A3" s="1"/>
      <c r="B3" s="1"/>
      <c r="C3" s="1"/>
      <c r="D3" s="1"/>
      <c r="E3" s="1"/>
      <c r="F3" s="1"/>
      <c r="G3" s="22"/>
      <c r="H3" s="22"/>
      <c r="I3" s="22"/>
    </row>
    <row r="4">
      <c r="A4" s="33">
        <v>45909.0</v>
      </c>
      <c r="B4" s="34"/>
      <c r="C4" s="10"/>
      <c r="D4" s="34"/>
      <c r="E4" s="34"/>
      <c r="F4" s="35"/>
      <c r="G4" s="36"/>
      <c r="H4" s="36"/>
      <c r="I4" s="36"/>
      <c r="J4" s="37"/>
      <c r="K4" s="37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>
      <c r="A5" s="10"/>
      <c r="B5" s="34"/>
      <c r="C5" s="10"/>
      <c r="D5" s="34"/>
      <c r="E5" s="34"/>
      <c r="F5" s="35"/>
      <c r="G5" s="36"/>
      <c r="H5" s="36"/>
      <c r="I5" s="36"/>
      <c r="J5" s="37"/>
      <c r="K5" s="37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>
      <c r="A6" s="10" t="s">
        <v>77</v>
      </c>
      <c r="B6" s="34" t="s">
        <v>78</v>
      </c>
      <c r="C6" s="10">
        <v>198.43</v>
      </c>
      <c r="D6" s="34" t="s">
        <v>79</v>
      </c>
      <c r="E6" s="34" t="s">
        <v>80</v>
      </c>
      <c r="F6" s="35">
        <v>0.0225</v>
      </c>
      <c r="G6" s="36">
        <v>800.0</v>
      </c>
      <c r="H6" s="36">
        <v>1587.0</v>
      </c>
      <c r="I6" s="36">
        <v>66700.0</v>
      </c>
      <c r="J6" s="37">
        <v>151.35</v>
      </c>
      <c r="K6" s="37">
        <v>204.33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>
      <c r="A7" s="10" t="s">
        <v>81</v>
      </c>
      <c r="B7" s="34" t="s">
        <v>82</v>
      </c>
      <c r="C7" s="10">
        <v>158.7</v>
      </c>
      <c r="D7" s="34" t="s">
        <v>83</v>
      </c>
      <c r="E7" s="34" t="s">
        <v>84</v>
      </c>
      <c r="F7" s="38">
        <v>0.00875</v>
      </c>
      <c r="G7" s="36">
        <v>604.0</v>
      </c>
      <c r="H7" s="36">
        <v>958.0</v>
      </c>
      <c r="I7" s="36">
        <v>70500.0</v>
      </c>
      <c r="J7" s="37">
        <v>162.0</v>
      </c>
      <c r="K7" s="37">
        <v>232.72</v>
      </c>
      <c r="L7" s="24"/>
      <c r="M7" s="10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</row>
    <row r="8">
      <c r="A8" s="10" t="s">
        <v>85</v>
      </c>
      <c r="B8" s="34" t="s">
        <v>86</v>
      </c>
      <c r="C8" s="10">
        <v>104.82</v>
      </c>
      <c r="D8" s="39">
        <v>47517.0</v>
      </c>
      <c r="E8" s="39">
        <v>46786.0</v>
      </c>
      <c r="F8" s="18">
        <v>0.0</v>
      </c>
      <c r="G8" s="36">
        <v>2000.0</v>
      </c>
      <c r="H8" s="36">
        <v>2096.0</v>
      </c>
      <c r="I8" s="36">
        <v>96200.0</v>
      </c>
      <c r="J8" s="37">
        <v>321.05</v>
      </c>
      <c r="K8" s="37">
        <v>433.43</v>
      </c>
      <c r="L8" s="24"/>
      <c r="M8" s="10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>
      <c r="A9" s="10" t="s">
        <v>87</v>
      </c>
      <c r="B9" s="39">
        <v>45538.0</v>
      </c>
      <c r="C9" s="10">
        <v>223.52</v>
      </c>
      <c r="D9" s="34" t="s">
        <v>88</v>
      </c>
      <c r="E9" s="34" t="s">
        <v>89</v>
      </c>
      <c r="F9" s="38">
        <v>0.00625</v>
      </c>
      <c r="G9" s="36">
        <v>800.0</v>
      </c>
      <c r="H9" s="36">
        <v>1788.0</v>
      </c>
      <c r="I9" s="36">
        <v>64100.0</v>
      </c>
      <c r="J9" s="37">
        <v>105.1</v>
      </c>
      <c r="K9" s="37">
        <v>149.77</v>
      </c>
      <c r="L9" s="24"/>
      <c r="M9" s="10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>
      <c r="A10" s="10" t="s">
        <v>90</v>
      </c>
      <c r="B10" s="34" t="s">
        <v>91</v>
      </c>
      <c r="C10" s="10">
        <v>89.74</v>
      </c>
      <c r="D10" s="39">
        <v>47161.0</v>
      </c>
      <c r="E10" s="39">
        <v>46789.0</v>
      </c>
      <c r="F10" s="18">
        <v>0.0</v>
      </c>
      <c r="G10" s="36">
        <v>3000.0</v>
      </c>
      <c r="H10" s="36">
        <v>2692.0</v>
      </c>
      <c r="I10" s="36">
        <v>92300.0</v>
      </c>
      <c r="J10" s="37">
        <v>433.8</v>
      </c>
      <c r="K10" s="37">
        <v>672.4</v>
      </c>
      <c r="L10" s="24"/>
      <c r="M10" s="10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</row>
    <row r="11">
      <c r="A11" s="10" t="s">
        <v>92</v>
      </c>
      <c r="B11" s="34" t="s">
        <v>93</v>
      </c>
      <c r="C11" s="10">
        <v>192.43</v>
      </c>
      <c r="D11" s="34" t="s">
        <v>94</v>
      </c>
      <c r="E11" s="34" t="s">
        <v>95</v>
      </c>
      <c r="F11" s="38">
        <v>0.00625</v>
      </c>
      <c r="G11" s="36">
        <v>1010.0</v>
      </c>
      <c r="H11" s="36">
        <v>1944.0</v>
      </c>
      <c r="I11" s="36">
        <v>60100.0</v>
      </c>
      <c r="J11" s="37">
        <v>130.85</v>
      </c>
      <c r="K11" s="37">
        <v>183.19</v>
      </c>
      <c r="L11" s="24"/>
      <c r="M11" s="1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>
      <c r="A12" s="24"/>
      <c r="B12" s="10"/>
      <c r="C12" s="10"/>
      <c r="D12" s="10"/>
      <c r="E12" s="10"/>
      <c r="F12" s="10"/>
      <c r="G12" s="25">
        <f t="shared" ref="G12:H12" si="1">SUM(G3:G11)</f>
        <v>8214</v>
      </c>
      <c r="H12" s="25">
        <f t="shared" si="1"/>
        <v>11065</v>
      </c>
      <c r="I12" s="25">
        <f>H6/H12*I6+H7/H12*I7+H8/H12*I8+H9/H12*I9+H10/H12*I10+H11/H12*I11</f>
        <v>77265.60325</v>
      </c>
      <c r="J12" s="24"/>
      <c r="K12" s="24"/>
      <c r="L12" s="24"/>
      <c r="M12" s="10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</row>
    <row r="13">
      <c r="A13" s="10" t="s">
        <v>96</v>
      </c>
      <c r="B13" s="40" t="s">
        <v>97</v>
      </c>
      <c r="C13" s="10"/>
      <c r="D13" s="10"/>
      <c r="E13" s="10"/>
      <c r="F13" s="10"/>
      <c r="G13" s="10"/>
      <c r="H13" s="10"/>
      <c r="I13" s="25">
        <f>IFERROR(__xludf.DUMMYFUNCTION("GOOGLEFINANCE(""BTC-USD"")"),63316.25)</f>
        <v>63316.25</v>
      </c>
      <c r="J13" s="24"/>
      <c r="K13" s="24"/>
      <c r="L13" s="24"/>
      <c r="M13" s="10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</row>
    <row r="14">
      <c r="A14" s="24"/>
      <c r="B14" s="10"/>
      <c r="C14" s="10"/>
      <c r="D14" s="10"/>
      <c r="E14" s="10"/>
      <c r="F14" s="10"/>
      <c r="G14" s="10"/>
      <c r="H14" s="10"/>
      <c r="I14" s="10"/>
      <c r="J14" s="24"/>
      <c r="K14" s="24"/>
      <c r="L14" s="24"/>
      <c r="M14" s="10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</row>
    <row r="15">
      <c r="A15" s="24"/>
      <c r="B15" s="10"/>
      <c r="C15" s="10"/>
      <c r="D15" s="10"/>
      <c r="E15" s="10"/>
      <c r="F15" s="10"/>
      <c r="G15" s="10"/>
      <c r="H15" s="10"/>
      <c r="I15" s="10"/>
      <c r="J15" s="24"/>
      <c r="K15" s="24"/>
      <c r="L15" s="24"/>
      <c r="M15" s="1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</row>
    <row r="16">
      <c r="A16" s="24"/>
      <c r="B16" s="10"/>
      <c r="C16" s="10"/>
      <c r="D16" s="10"/>
      <c r="E16" s="10"/>
      <c r="F16" s="10"/>
      <c r="G16" s="10"/>
      <c r="H16" s="10"/>
      <c r="I16" s="10"/>
      <c r="J16" s="24"/>
      <c r="K16" s="24"/>
      <c r="L16" s="24"/>
      <c r="M16" s="10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</row>
    <row r="17">
      <c r="A17" s="24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24"/>
      <c r="M17" s="10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</row>
    <row r="18">
      <c r="A18" s="24"/>
      <c r="B18" s="10"/>
      <c r="C18" s="10"/>
      <c r="D18" s="10"/>
      <c r="E18" s="10"/>
      <c r="F18" s="10"/>
      <c r="G18" s="10"/>
      <c r="H18" s="10"/>
      <c r="I18" s="10"/>
      <c r="J18" s="24"/>
      <c r="K18" s="24"/>
      <c r="L18" s="24"/>
      <c r="M18" s="10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</row>
    <row r="19">
      <c r="A19" s="24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</row>
    <row r="20">
      <c r="A20" s="24"/>
      <c r="B20" s="24"/>
      <c r="C20" s="24"/>
      <c r="D20" s="24"/>
      <c r="E20" s="24"/>
      <c r="F20" s="24"/>
      <c r="G20" s="24"/>
      <c r="H20" s="10"/>
      <c r="I20" s="10"/>
      <c r="J20" s="10"/>
      <c r="K20" s="10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</row>
    <row r="21">
      <c r="A21" s="24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</row>
    <row r="22">
      <c r="A22" s="2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</row>
    <row r="23">
      <c r="A23" s="24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</row>
    <row r="24">
      <c r="A24" s="24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>
      <c r="A25" s="24"/>
      <c r="B25" s="10"/>
      <c r="C25" s="10"/>
      <c r="D25" s="10"/>
      <c r="E25" s="10"/>
      <c r="F25" s="10"/>
      <c r="G25" s="10"/>
      <c r="H25" s="10"/>
      <c r="I25" s="10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>
      <c r="A26" s="2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>
      <c r="A31" s="24"/>
      <c r="B31" s="24"/>
      <c r="C31" s="24"/>
      <c r="D31" s="24"/>
      <c r="E31" s="24"/>
      <c r="F31" s="24"/>
      <c r="G31" s="24"/>
      <c r="H31" s="10"/>
      <c r="I31" s="10"/>
      <c r="J31" s="10"/>
      <c r="K31" s="10"/>
      <c r="L31" s="24"/>
      <c r="M31" s="24"/>
      <c r="N31" s="24"/>
      <c r="O31" s="24"/>
      <c r="P31" s="27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</row>
    <row r="32">
      <c r="A32" s="24"/>
      <c r="B32" s="24"/>
      <c r="C32" s="24"/>
      <c r="D32" s="24"/>
      <c r="E32" s="24"/>
      <c r="F32" s="24"/>
      <c r="G32" s="24"/>
      <c r="H32" s="10"/>
      <c r="I32" s="10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</row>
    <row r="36">
      <c r="A36" s="24"/>
      <c r="B36" s="24"/>
      <c r="C36" s="24"/>
      <c r="D36" s="24"/>
      <c r="E36" s="24"/>
      <c r="F36" s="24"/>
      <c r="G36" s="24"/>
      <c r="H36" s="10"/>
      <c r="I36" s="10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</row>
    <row r="38">
      <c r="A38" s="24"/>
      <c r="B38" s="24"/>
      <c r="C38" s="24"/>
      <c r="D38" s="24"/>
      <c r="E38" s="24"/>
      <c r="F38" s="24"/>
      <c r="G38" s="24"/>
      <c r="H38" s="10"/>
      <c r="I38" s="10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</row>
    <row r="40">
      <c r="A40" s="24"/>
      <c r="B40" s="24"/>
      <c r="C40" s="24"/>
      <c r="D40" s="24"/>
      <c r="E40" s="24"/>
      <c r="F40" s="24"/>
      <c r="G40" s="24"/>
      <c r="H40" s="10"/>
      <c r="I40" s="10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</row>
    <row r="42">
      <c r="A42" s="24"/>
      <c r="B42" s="24"/>
      <c r="C42" s="24"/>
      <c r="D42" s="24"/>
      <c r="E42" s="24"/>
      <c r="F42" s="24"/>
      <c r="G42" s="24"/>
      <c r="H42" s="10"/>
      <c r="I42" s="10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>
      <c r="A43" s="24"/>
      <c r="B43" s="24"/>
      <c r="C43" s="24"/>
      <c r="D43" s="24"/>
      <c r="E43" s="24"/>
      <c r="F43" s="24"/>
      <c r="G43" s="24"/>
      <c r="H43" s="10"/>
      <c r="I43" s="10"/>
      <c r="J43" s="10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>
      <c r="A44" s="28"/>
      <c r="B44" s="24"/>
      <c r="C44" s="24"/>
      <c r="D44" s="24"/>
      <c r="E44" s="24"/>
      <c r="F44" s="24"/>
      <c r="G44" s="24"/>
      <c r="H44" s="24"/>
      <c r="I44" s="24"/>
      <c r="J44" s="24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9"/>
      <c r="L46" s="30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9"/>
      <c r="L47" s="30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10"/>
      <c r="K48" s="31"/>
      <c r="L48" s="30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31"/>
      <c r="L49" s="30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31"/>
      <c r="L50" s="32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</row>
  </sheetData>
  <drawing r:id="rId4"/>
  <legacyDrawing r:id="rId5"/>
</worksheet>
</file>