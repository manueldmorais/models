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\"/>
    </mc:Choice>
  </mc:AlternateContent>
  <xr:revisionPtr revIDLastSave="0" documentId="13_ncr:1_{0A4D3FEB-81DB-49AC-B88A-D86129602235}" xr6:coauthVersionLast="47" xr6:coauthVersionMax="47" xr10:uidLastSave="{00000000-0000-0000-0000-000000000000}"/>
  <bookViews>
    <workbookView xWindow="1512" yWindow="2364" windowWidth="17280" windowHeight="8868" activeTab="3" xr2:uid="{647BEB96-0A8C-43A8-94EC-6241D28B990A}"/>
  </bookViews>
  <sheets>
    <sheet name="main" sheetId="1" r:id="rId1"/>
    <sheet name="model" sheetId="2" r:id="rId2"/>
    <sheet name="balance" sheetId="4" r:id="rId3"/>
    <sheet name="metric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5" i="3" l="1"/>
  <c r="J6" i="2"/>
  <c r="I6" i="2"/>
  <c r="H6" i="2"/>
  <c r="G6" i="2"/>
  <c r="F6" i="2"/>
  <c r="E6" i="2"/>
  <c r="D6" i="2"/>
  <c r="K6" i="2"/>
  <c r="J4" i="2"/>
  <c r="I4" i="2"/>
  <c r="H4" i="2"/>
  <c r="G4" i="2"/>
  <c r="F4" i="2"/>
  <c r="E4" i="2"/>
  <c r="D4" i="2"/>
  <c r="K4" i="2"/>
  <c r="J7" i="2"/>
  <c r="I7" i="2"/>
  <c r="H7" i="2"/>
  <c r="G7" i="2"/>
  <c r="G20" i="2" s="1"/>
  <c r="F7" i="2"/>
  <c r="E7" i="2"/>
  <c r="D7" i="2"/>
  <c r="C7" i="2"/>
  <c r="C10" i="2" s="1"/>
  <c r="C11" i="2" s="1"/>
  <c r="K7" i="2"/>
  <c r="I11" i="3"/>
  <c r="L3" i="3"/>
  <c r="L10" i="3" s="1"/>
  <c r="L12" i="3"/>
  <c r="M12" i="3" s="1"/>
  <c r="N12" i="3" s="1"/>
  <c r="O12" i="3" s="1"/>
  <c r="P12" i="3" s="1"/>
  <c r="J16" i="1"/>
  <c r="J15" i="1"/>
  <c r="G45" i="4"/>
  <c r="F45" i="4"/>
  <c r="G44" i="4"/>
  <c r="F44" i="4"/>
  <c r="F41" i="4"/>
  <c r="F42" i="4" s="1"/>
  <c r="G41" i="4"/>
  <c r="F33" i="4"/>
  <c r="G33" i="4"/>
  <c r="F24" i="4"/>
  <c r="F25" i="4" s="1"/>
  <c r="G24" i="4"/>
  <c r="F14" i="4"/>
  <c r="G14" i="4"/>
  <c r="C26" i="2"/>
  <c r="C27" i="2" s="1"/>
  <c r="D26" i="2"/>
  <c r="D27" i="2" s="1"/>
  <c r="E26" i="2"/>
  <c r="E27" i="2" s="1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E10" i="2"/>
  <c r="E11" i="2" s="1"/>
  <c r="D10" i="2"/>
  <c r="D11" i="2" s="1"/>
  <c r="E7" i="3"/>
  <c r="D7" i="3"/>
  <c r="C7" i="3"/>
  <c r="F6" i="3"/>
  <c r="E6" i="3"/>
  <c r="D6" i="3"/>
  <c r="C5" i="3"/>
  <c r="D5" i="3"/>
  <c r="E5" i="3"/>
  <c r="F4" i="3"/>
  <c r="E4" i="3"/>
  <c r="D4" i="3"/>
  <c r="C3" i="3"/>
  <c r="D3" i="3"/>
  <c r="E3" i="3"/>
  <c r="I1" i="3"/>
  <c r="D1" i="3"/>
  <c r="E1" i="3" s="1"/>
  <c r="F1" i="3" s="1"/>
  <c r="G1" i="3" s="1"/>
  <c r="H1" i="3" s="1"/>
  <c r="F26" i="2"/>
  <c r="F27" i="2" s="1"/>
  <c r="G26" i="2"/>
  <c r="G27" i="2" s="1"/>
  <c r="H26" i="2"/>
  <c r="H27" i="2" s="1"/>
  <c r="C41" i="4"/>
  <c r="C42" i="4" s="1"/>
  <c r="C45" i="4" s="1"/>
  <c r="D41" i="4"/>
  <c r="C33" i="4"/>
  <c r="D33" i="4"/>
  <c r="D42" i="4" s="1"/>
  <c r="D24" i="4"/>
  <c r="C14" i="4"/>
  <c r="C25" i="4" s="1"/>
  <c r="C44" i="4" s="1"/>
  <c r="D14" i="4"/>
  <c r="D25" i="4" s="1"/>
  <c r="D1" i="4"/>
  <c r="E1" i="4" s="1"/>
  <c r="F1" i="4" s="1"/>
  <c r="G1" i="4" s="1"/>
  <c r="H18" i="2"/>
  <c r="G18" i="2"/>
  <c r="F18" i="2"/>
  <c r="H20" i="2"/>
  <c r="F10" i="2"/>
  <c r="F5" i="3"/>
  <c r="F7" i="3" s="1"/>
  <c r="G5" i="3"/>
  <c r="G7" i="3" s="1"/>
  <c r="H5" i="3"/>
  <c r="I6" i="3" s="1"/>
  <c r="F3" i="3"/>
  <c r="H3" i="3"/>
  <c r="I4" i="3" s="1"/>
  <c r="G3" i="3"/>
  <c r="G4" i="3" s="1"/>
  <c r="K9" i="3"/>
  <c r="J9" i="3"/>
  <c r="J7" i="3"/>
  <c r="I7" i="3"/>
  <c r="K7" i="3"/>
  <c r="K6" i="3"/>
  <c r="J6" i="3"/>
  <c r="J4" i="3"/>
  <c r="K4" i="3"/>
  <c r="M38" i="2"/>
  <c r="P32" i="2"/>
  <c r="Q32" i="2" s="1"/>
  <c r="R32" i="2" s="1"/>
  <c r="S32" i="2" s="1"/>
  <c r="J7" i="1"/>
  <c r="J9" i="1" s="1"/>
  <c r="M36" i="2"/>
  <c r="L21" i="2"/>
  <c r="M21" i="2" s="1"/>
  <c r="N21" i="2" s="1"/>
  <c r="O21" i="2" s="1"/>
  <c r="P21" i="2" s="1"/>
  <c r="I18" i="2"/>
  <c r="J18" i="2"/>
  <c r="K18" i="2"/>
  <c r="J13" i="1"/>
  <c r="J6" i="1"/>
  <c r="J23" i="2"/>
  <c r="K23" i="2"/>
  <c r="J22" i="2"/>
  <c r="I22" i="2"/>
  <c r="K22" i="2"/>
  <c r="I26" i="2"/>
  <c r="I27" i="2" s="1"/>
  <c r="J26" i="2"/>
  <c r="J27" i="2" s="1"/>
  <c r="K26" i="2"/>
  <c r="K27" i="2" s="1"/>
  <c r="J20" i="2"/>
  <c r="I10" i="2"/>
  <c r="E28" i="2" l="1"/>
  <c r="D28" i="2"/>
  <c r="H8" i="2"/>
  <c r="C20" i="2"/>
  <c r="C28" i="2"/>
  <c r="G28" i="2"/>
  <c r="D20" i="2"/>
  <c r="I28" i="2"/>
  <c r="G10" i="2"/>
  <c r="G11" i="2" s="1"/>
  <c r="D8" i="2"/>
  <c r="E20" i="2"/>
  <c r="F28" i="2"/>
  <c r="I20" i="2"/>
  <c r="H10" i="2"/>
  <c r="H11" i="2" s="1"/>
  <c r="H28" i="2"/>
  <c r="E8" i="2"/>
  <c r="G8" i="2"/>
  <c r="F8" i="2"/>
  <c r="D44" i="4"/>
  <c r="D45" i="4"/>
  <c r="G25" i="4"/>
  <c r="G42" i="4"/>
  <c r="I14" i="2"/>
  <c r="I16" i="2" s="1"/>
  <c r="I11" i="2"/>
  <c r="F11" i="2"/>
  <c r="F14" i="2"/>
  <c r="F16" i="2" s="1"/>
  <c r="F20" i="2"/>
  <c r="I8" i="2"/>
  <c r="J28" i="2"/>
  <c r="J1" i="3"/>
  <c r="K1" i="3" s="1"/>
  <c r="H6" i="3"/>
  <c r="H7" i="3"/>
  <c r="H4" i="3"/>
  <c r="G6" i="3"/>
  <c r="J10" i="2"/>
  <c r="J8" i="2"/>
  <c r="H14" i="2" l="1"/>
  <c r="H16" i="2" s="1"/>
  <c r="G14" i="2"/>
  <c r="G16" i="2" s="1"/>
  <c r="J11" i="2"/>
  <c r="J14" i="2"/>
  <c r="J16" i="2" s="1"/>
  <c r="K28" i="2"/>
  <c r="K8" i="2"/>
  <c r="L7" i="2"/>
  <c r="K20" i="2"/>
  <c r="M7" i="2" l="1"/>
  <c r="L27" i="2"/>
  <c r="L19" i="2"/>
  <c r="L22" i="2" s="1"/>
  <c r="K10" i="2"/>
  <c r="J12" i="1"/>
  <c r="K11" i="2" l="1"/>
  <c r="K14" i="2"/>
  <c r="M19" i="2"/>
  <c r="M22" i="2" s="1"/>
  <c r="N7" i="2"/>
  <c r="M27" i="2"/>
  <c r="J14" i="1" l="1"/>
  <c r="K16" i="2"/>
  <c r="O7" i="2"/>
  <c r="N27" i="2"/>
  <c r="N19" i="2"/>
  <c r="N22" i="2" s="1"/>
  <c r="P7" i="2" l="1"/>
  <c r="O19" i="2"/>
  <c r="O22" i="2" s="1"/>
  <c r="O27" i="2"/>
  <c r="P27" i="2" l="1"/>
  <c r="P19" i="2"/>
  <c r="P22" i="2" s="1"/>
  <c r="Q7" i="2"/>
  <c r="R7" i="2" l="1"/>
  <c r="Q27" i="2"/>
  <c r="R33" i="2"/>
  <c r="Q33" i="2"/>
  <c r="P33" i="2"/>
  <c r="S33" i="2"/>
  <c r="S35" i="2" l="1"/>
  <c r="S34" i="2"/>
  <c r="P34" i="2"/>
  <c r="P35" i="2"/>
  <c r="S7" i="2"/>
  <c r="R27" i="2"/>
  <c r="Q34" i="2"/>
  <c r="Q35" i="2"/>
  <c r="R35" i="2"/>
  <c r="R34" i="2"/>
  <c r="S27" i="2" l="1"/>
  <c r="T7" i="2"/>
  <c r="U7" i="2" l="1"/>
  <c r="U27" i="2" s="1"/>
  <c r="V27" i="2" s="1"/>
  <c r="W27" i="2" s="1"/>
  <c r="X27" i="2" s="1"/>
  <c r="Y27" i="2" s="1"/>
  <c r="Z27" i="2" s="1"/>
  <c r="AA27" i="2" s="1"/>
  <c r="AB27" i="2" s="1"/>
  <c r="AC27" i="2" s="1"/>
  <c r="AD27" i="2" s="1"/>
  <c r="AE27" i="2" s="1"/>
  <c r="AF27" i="2" s="1"/>
  <c r="AG27" i="2" s="1"/>
  <c r="AH27" i="2" s="1"/>
  <c r="AI27" i="2" s="1"/>
  <c r="AJ27" i="2" s="1"/>
  <c r="AK27" i="2" s="1"/>
  <c r="AL27" i="2" s="1"/>
  <c r="AM27" i="2" s="1"/>
  <c r="AN27" i="2" s="1"/>
  <c r="AO27" i="2" s="1"/>
  <c r="AP27" i="2" s="1"/>
  <c r="AQ27" i="2" s="1"/>
  <c r="AR27" i="2" s="1"/>
  <c r="AS27" i="2" s="1"/>
  <c r="AT27" i="2" s="1"/>
  <c r="AU27" i="2" s="1"/>
  <c r="AV27" i="2" s="1"/>
  <c r="AW27" i="2" s="1"/>
  <c r="AX27" i="2" s="1"/>
  <c r="AY27" i="2" s="1"/>
  <c r="AZ27" i="2" s="1"/>
  <c r="T27" i="2"/>
  <c r="M33" i="2" l="1"/>
  <c r="M35" i="2" s="1"/>
  <c r="M37" i="2" s="1"/>
  <c r="M39" i="2" l="1"/>
</calcChain>
</file>

<file path=xl/sharedStrings.xml><?xml version="1.0" encoding="utf-8"?>
<sst xmlns="http://schemas.openxmlformats.org/spreadsheetml/2006/main" count="119" uniqueCount="97">
  <si>
    <t>Name</t>
  </si>
  <si>
    <t>TME</t>
  </si>
  <si>
    <t>Price</t>
  </si>
  <si>
    <t>Shares</t>
  </si>
  <si>
    <t>MC</t>
  </si>
  <si>
    <t>Cash</t>
  </si>
  <si>
    <t>Debt</t>
  </si>
  <si>
    <t>EV</t>
  </si>
  <si>
    <t>P/S</t>
  </si>
  <si>
    <t>P/E</t>
  </si>
  <si>
    <t>EV/EBTIDA</t>
  </si>
  <si>
    <t>Music</t>
  </si>
  <si>
    <t>Social Services</t>
  </si>
  <si>
    <t>Total Revenue</t>
  </si>
  <si>
    <t>COGS</t>
  </si>
  <si>
    <t>Gross Profit</t>
  </si>
  <si>
    <t>% gross</t>
  </si>
  <si>
    <t>% growth</t>
  </si>
  <si>
    <t>S&amp;M</t>
  </si>
  <si>
    <t>G&amp;A</t>
  </si>
  <si>
    <t>EBIT</t>
  </si>
  <si>
    <t>Interest</t>
  </si>
  <si>
    <t>Other</t>
  </si>
  <si>
    <t>Profit before tax</t>
  </si>
  <si>
    <t>Taxes &amp; NI</t>
  </si>
  <si>
    <t>Net Income</t>
  </si>
  <si>
    <t>% net</t>
  </si>
  <si>
    <t>EPS</t>
  </si>
  <si>
    <t>% buybacks</t>
  </si>
  <si>
    <t>CFFO</t>
  </si>
  <si>
    <t>CapEx</t>
  </si>
  <si>
    <t>FCF</t>
  </si>
  <si>
    <t>% fcf</t>
  </si>
  <si>
    <t>DCF</t>
  </si>
  <si>
    <t>Maturity</t>
  </si>
  <si>
    <t>Discount</t>
  </si>
  <si>
    <t>NPV</t>
  </si>
  <si>
    <t>rmb/usd</t>
  </si>
  <si>
    <t>Upside</t>
  </si>
  <si>
    <t>Multiples</t>
  </si>
  <si>
    <t>2030 P</t>
  </si>
  <si>
    <t>p.a</t>
  </si>
  <si>
    <t>FV</t>
  </si>
  <si>
    <t>Sector</t>
  </si>
  <si>
    <t>Media</t>
  </si>
  <si>
    <t>QQ Music</t>
  </si>
  <si>
    <t>WeSing</t>
  </si>
  <si>
    <t>Products:</t>
  </si>
  <si>
    <t>Kugou Music</t>
  </si>
  <si>
    <t>Kuwo Music</t>
  </si>
  <si>
    <t>Notes:</t>
  </si>
  <si>
    <t>MAU's</t>
  </si>
  <si>
    <t>Paying users</t>
  </si>
  <si>
    <t>in millions</t>
  </si>
  <si>
    <t>Monthly ARPPU</t>
  </si>
  <si>
    <t>Paying ratio</t>
  </si>
  <si>
    <t>PP&amp;E</t>
  </si>
  <si>
    <t>Land use</t>
  </si>
  <si>
    <t>ROU</t>
  </si>
  <si>
    <t>Intangible</t>
  </si>
  <si>
    <t>Goodwill</t>
  </si>
  <si>
    <t>Investments</t>
  </si>
  <si>
    <t>Financial assets</t>
  </si>
  <si>
    <t>Other inv.</t>
  </si>
  <si>
    <t>Deposits</t>
  </si>
  <si>
    <t>Deffered tax</t>
  </si>
  <si>
    <t>Prepayments</t>
  </si>
  <si>
    <t>NC Assets</t>
  </si>
  <si>
    <t>Inventory</t>
  </si>
  <si>
    <t>AR</t>
  </si>
  <si>
    <t>Short-term inv.</t>
  </si>
  <si>
    <t>Restricted cash</t>
  </si>
  <si>
    <t>C Assets</t>
  </si>
  <si>
    <t>Total Assets</t>
  </si>
  <si>
    <t>Notes</t>
  </si>
  <si>
    <t>Notes payable</t>
  </si>
  <si>
    <t>AP</t>
  </si>
  <si>
    <t>Lease</t>
  </si>
  <si>
    <t>Deffered rev.</t>
  </si>
  <si>
    <t>NC Liabilities</t>
  </si>
  <si>
    <t>Tax</t>
  </si>
  <si>
    <t>C Liabilities</t>
  </si>
  <si>
    <t>Total Liabilities</t>
  </si>
  <si>
    <t>Book Value</t>
  </si>
  <si>
    <t>Tang Book</t>
  </si>
  <si>
    <t>Spotify</t>
  </si>
  <si>
    <t>P/B</t>
  </si>
  <si>
    <t>P/TBV</t>
  </si>
  <si>
    <t>cagr</t>
  </si>
  <si>
    <t>Will depend on how can managment handle churn and keep going growing subs</t>
  </si>
  <si>
    <t>Music is growing in the low teens while it's livestreaming business is dying</t>
  </si>
  <si>
    <t>Streaming Services (80%)</t>
  </si>
  <si>
    <t>Social entertainment (20%)</t>
  </si>
  <si>
    <t>Streaming</t>
  </si>
  <si>
    <t>Q1 2026 is their first quarterly report which they didn't post metrics</t>
  </si>
  <si>
    <t>I like the business, has a wide moat and operates with high market share</t>
  </si>
  <si>
    <t>Red flags in my research and it's outside my circle of competence: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</si>
</sst>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9" fontId="0" fillId="0" borderId="0" xfId="1" applyFont="1"/>
    <xf numFmtId="9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4" fillId="0" borderId="0" xfId="0" applyFont="1"/>
    <xf numFmtId="164" fontId="0" fillId="0" borderId="0" xfId="1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2443-7247-481B-B5E0-A3815C70D39C}">
  <dimension ref="B3:J21"/>
  <sheetViews>
    <sheetView zoomScale="130" zoomScaleNormal="130" workbookViewId="0">
      <selection activeCell="B22" sqref="B22"/>
    </sheetView>
  </sheetViews>
  <sheetFormatPr defaultRowHeight="13.8" x14ac:dyDescent="0.25"/>
  <cols>
    <col min="2" max="2" width="10" customWidth="1"/>
    <col min="7" max="7" width="9.796875" customWidth="1"/>
    <col min="9" max="9" width="11.19921875" customWidth="1"/>
  </cols>
  <sheetData>
    <row r="3" spans="2:10" x14ac:dyDescent="0.25">
      <c r="B3" s="8" t="s">
        <v>47</v>
      </c>
      <c r="F3" t="s">
        <v>43</v>
      </c>
      <c r="G3" t="s">
        <v>44</v>
      </c>
      <c r="I3" t="s">
        <v>0</v>
      </c>
      <c r="J3" s="7" t="s">
        <v>1</v>
      </c>
    </row>
    <row r="4" spans="2:10" x14ac:dyDescent="0.25">
      <c r="G4" t="s">
        <v>93</v>
      </c>
      <c r="I4" t="s">
        <v>2</v>
      </c>
      <c r="J4">
        <v>9.25</v>
      </c>
    </row>
    <row r="5" spans="2:10" x14ac:dyDescent="0.25">
      <c r="B5" s="1" t="s">
        <v>91</v>
      </c>
      <c r="I5" t="s">
        <v>3</v>
      </c>
      <c r="J5">
        <v>1554</v>
      </c>
    </row>
    <row r="6" spans="2:10" x14ac:dyDescent="0.25">
      <c r="B6" t="s">
        <v>45</v>
      </c>
      <c r="I6" t="s">
        <v>4</v>
      </c>
      <c r="J6" s="5">
        <f>J4*J5</f>
        <v>14374.5</v>
      </c>
    </row>
    <row r="7" spans="2:10" x14ac:dyDescent="0.25">
      <c r="B7" t="s">
        <v>48</v>
      </c>
      <c r="I7" t="s">
        <v>5</v>
      </c>
      <c r="J7" s="5">
        <f>8470*(0.15)</f>
        <v>1270.5</v>
      </c>
    </row>
    <row r="8" spans="2:10" x14ac:dyDescent="0.25">
      <c r="B8" t="s">
        <v>49</v>
      </c>
      <c r="I8" t="s">
        <v>6</v>
      </c>
      <c r="J8">
        <v>0</v>
      </c>
    </row>
    <row r="9" spans="2:10" x14ac:dyDescent="0.25">
      <c r="I9" t="s">
        <v>7</v>
      </c>
      <c r="J9" s="5">
        <f>J6-J7</f>
        <v>13104</v>
      </c>
    </row>
    <row r="10" spans="2:10" x14ac:dyDescent="0.25">
      <c r="B10" s="1" t="s">
        <v>92</v>
      </c>
    </row>
    <row r="11" spans="2:10" x14ac:dyDescent="0.25">
      <c r="B11" t="s">
        <v>46</v>
      </c>
    </row>
    <row r="12" spans="2:10" x14ac:dyDescent="0.25">
      <c r="I12" t="s">
        <v>8</v>
      </c>
      <c r="J12" s="6">
        <f>J6/model!K7*(1/0.15)</f>
        <v>2.9125889003707979</v>
      </c>
    </row>
    <row r="13" spans="2:10" x14ac:dyDescent="0.25">
      <c r="I13" t="s">
        <v>9</v>
      </c>
      <c r="J13" s="6">
        <f>J6/model!K19*(1/0.15)</f>
        <v>8.4409407205144031</v>
      </c>
    </row>
    <row r="14" spans="2:10" x14ac:dyDescent="0.25">
      <c r="I14" t="s">
        <v>10</v>
      </c>
      <c r="J14" s="6">
        <f>J9/model!K14*(1/0.15)</f>
        <v>9.02665840049597</v>
      </c>
    </row>
    <row r="15" spans="2:10" x14ac:dyDescent="0.25">
      <c r="I15" t="s">
        <v>86</v>
      </c>
      <c r="J15" s="6">
        <f>J6/balance!G44*(1/0.15)</f>
        <v>1.1538832028898256</v>
      </c>
    </row>
    <row r="16" spans="2:10" x14ac:dyDescent="0.25">
      <c r="B16" t="s">
        <v>50</v>
      </c>
      <c r="I16" t="s">
        <v>87</v>
      </c>
      <c r="J16" s="11">
        <f>J6/balance!G45*(1/0.15)</f>
        <v>7.3794855998767908</v>
      </c>
    </row>
    <row r="17" spans="2:2" x14ac:dyDescent="0.25">
      <c r="B17" t="s">
        <v>95</v>
      </c>
    </row>
    <row r="18" spans="2:2" x14ac:dyDescent="0.25">
      <c r="B18" t="s">
        <v>89</v>
      </c>
    </row>
    <row r="19" spans="2:2" x14ac:dyDescent="0.25">
      <c r="B19" t="s">
        <v>90</v>
      </c>
    </row>
    <row r="20" spans="2:2" x14ac:dyDescent="0.25">
      <c r="B20" t="s">
        <v>96</v>
      </c>
    </row>
    <row r="21" spans="2:2" x14ac:dyDescent="0.25">
      <c r="B21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38B85-E5F0-4571-81C5-57BE360F66DF}">
  <dimension ref="A1:AZ39"/>
  <sheetViews>
    <sheetView zoomScale="130" zoomScaleNormal="130" workbookViewId="0">
      <pane ySplit="1" topLeftCell="A18" activePane="bottomLeft" state="frozen"/>
      <selection pane="bottomLeft" activeCell="C10" sqref="B8:C10"/>
    </sheetView>
  </sheetViews>
  <sheetFormatPr defaultRowHeight="13.8" x14ac:dyDescent="0.25"/>
  <cols>
    <col min="1" max="1" width="15.3984375" customWidth="1"/>
    <col min="13" max="13" width="8.796875" customWidth="1"/>
  </cols>
  <sheetData>
    <row r="1" spans="1:52" x14ac:dyDescent="0.25">
      <c r="C1">
        <v>2017</v>
      </c>
      <c r="D1">
        <f t="shared" ref="D1:F1" si="0">C1+1</f>
        <v>2018</v>
      </c>
      <c r="E1">
        <f t="shared" si="0"/>
        <v>2019</v>
      </c>
      <c r="F1">
        <f t="shared" si="0"/>
        <v>2020</v>
      </c>
      <c r="G1">
        <f t="shared" ref="G1:I1" si="1">F1+1</f>
        <v>2021</v>
      </c>
      <c r="H1">
        <f t="shared" si="1"/>
        <v>2022</v>
      </c>
      <c r="I1">
        <f t="shared" si="1"/>
        <v>2023</v>
      </c>
      <c r="J1">
        <f>I1+1</f>
        <v>2024</v>
      </c>
      <c r="K1">
        <f t="shared" ref="K1:AZ1" si="2">J1+1</f>
        <v>2025</v>
      </c>
      <c r="L1">
        <f t="shared" si="2"/>
        <v>2026</v>
      </c>
      <c r="M1">
        <f t="shared" si="2"/>
        <v>2027</v>
      </c>
      <c r="N1">
        <f t="shared" si="2"/>
        <v>2028</v>
      </c>
      <c r="O1">
        <f t="shared" si="2"/>
        <v>2029</v>
      </c>
      <c r="P1">
        <f t="shared" si="2"/>
        <v>2030</v>
      </c>
      <c r="Q1">
        <f t="shared" si="2"/>
        <v>2031</v>
      </c>
      <c r="R1">
        <f t="shared" si="2"/>
        <v>2032</v>
      </c>
      <c r="S1">
        <f t="shared" si="2"/>
        <v>2033</v>
      </c>
      <c r="T1">
        <f t="shared" si="2"/>
        <v>2034</v>
      </c>
      <c r="U1">
        <f t="shared" si="2"/>
        <v>2035</v>
      </c>
      <c r="V1">
        <f t="shared" si="2"/>
        <v>2036</v>
      </c>
      <c r="W1">
        <f t="shared" si="2"/>
        <v>2037</v>
      </c>
      <c r="X1">
        <f t="shared" si="2"/>
        <v>2038</v>
      </c>
      <c r="Y1">
        <f t="shared" si="2"/>
        <v>2039</v>
      </c>
      <c r="Z1">
        <f t="shared" si="2"/>
        <v>2040</v>
      </c>
      <c r="AA1">
        <f t="shared" si="2"/>
        <v>2041</v>
      </c>
      <c r="AB1">
        <f t="shared" si="2"/>
        <v>2042</v>
      </c>
      <c r="AC1">
        <f t="shared" si="2"/>
        <v>2043</v>
      </c>
      <c r="AD1">
        <f t="shared" si="2"/>
        <v>2044</v>
      </c>
      <c r="AE1">
        <f t="shared" si="2"/>
        <v>2045</v>
      </c>
      <c r="AF1">
        <f t="shared" si="2"/>
        <v>2046</v>
      </c>
      <c r="AG1">
        <f t="shared" si="2"/>
        <v>2047</v>
      </c>
      <c r="AH1">
        <f t="shared" si="2"/>
        <v>2048</v>
      </c>
      <c r="AI1">
        <f t="shared" si="2"/>
        <v>2049</v>
      </c>
      <c r="AJ1">
        <f t="shared" si="2"/>
        <v>2050</v>
      </c>
      <c r="AK1">
        <f t="shared" si="2"/>
        <v>2051</v>
      </c>
      <c r="AL1">
        <f t="shared" si="2"/>
        <v>2052</v>
      </c>
      <c r="AM1">
        <f t="shared" si="2"/>
        <v>2053</v>
      </c>
      <c r="AN1">
        <f t="shared" si="2"/>
        <v>2054</v>
      </c>
      <c r="AO1">
        <f t="shared" si="2"/>
        <v>2055</v>
      </c>
      <c r="AP1">
        <f t="shared" si="2"/>
        <v>2056</v>
      </c>
      <c r="AQ1">
        <f t="shared" si="2"/>
        <v>2057</v>
      </c>
      <c r="AR1">
        <f t="shared" si="2"/>
        <v>2058</v>
      </c>
      <c r="AS1">
        <f t="shared" si="2"/>
        <v>2059</v>
      </c>
      <c r="AT1">
        <f t="shared" si="2"/>
        <v>2060</v>
      </c>
      <c r="AU1">
        <f t="shared" si="2"/>
        <v>2061</v>
      </c>
      <c r="AV1">
        <f t="shared" si="2"/>
        <v>2062</v>
      </c>
      <c r="AW1">
        <f t="shared" si="2"/>
        <v>2063</v>
      </c>
      <c r="AX1">
        <f t="shared" si="2"/>
        <v>2064</v>
      </c>
      <c r="AY1">
        <f t="shared" si="2"/>
        <v>2065</v>
      </c>
      <c r="AZ1">
        <f t="shared" si="2"/>
        <v>2066</v>
      </c>
    </row>
    <row r="2" spans="1:52" ht="13.8" customHeight="1" x14ac:dyDescent="0.25"/>
    <row r="3" spans="1:52" x14ac:dyDescent="0.25">
      <c r="A3" t="s">
        <v>11</v>
      </c>
      <c r="C3">
        <v>3149</v>
      </c>
      <c r="D3">
        <v>5536</v>
      </c>
      <c r="E3">
        <v>7152</v>
      </c>
      <c r="F3">
        <v>9349</v>
      </c>
      <c r="G3">
        <v>11467</v>
      </c>
      <c r="H3">
        <v>12483</v>
      </c>
      <c r="I3">
        <v>17325</v>
      </c>
      <c r="J3">
        <v>21742</v>
      </c>
      <c r="K3">
        <v>26726</v>
      </c>
    </row>
    <row r="4" spans="1:52" ht="14.4" x14ac:dyDescent="0.3">
      <c r="A4" s="2" t="s">
        <v>17</v>
      </c>
      <c r="D4" s="3">
        <f t="shared" ref="D4:J4" si="3">D3/C3-1</f>
        <v>0.75801841854557006</v>
      </c>
      <c r="E4" s="3">
        <f t="shared" si="3"/>
        <v>0.29190751445086716</v>
      </c>
      <c r="F4" s="3">
        <f t="shared" si="3"/>
        <v>0.30718680089485462</v>
      </c>
      <c r="G4" s="3">
        <f t="shared" si="3"/>
        <v>0.22654829393518017</v>
      </c>
      <c r="H4" s="3">
        <f t="shared" si="3"/>
        <v>8.8602075521060364E-2</v>
      </c>
      <c r="I4" s="3">
        <f t="shared" si="3"/>
        <v>0.3878875270367701</v>
      </c>
      <c r="J4" s="3">
        <f t="shared" si="3"/>
        <v>0.25494949494949504</v>
      </c>
      <c r="K4" s="3">
        <f>K3/J3-1</f>
        <v>0.22923374114616868</v>
      </c>
    </row>
    <row r="5" spans="1:52" x14ac:dyDescent="0.25">
      <c r="A5" t="s">
        <v>12</v>
      </c>
      <c r="C5">
        <v>7832</v>
      </c>
      <c r="D5">
        <v>13449</v>
      </c>
      <c r="E5">
        <v>18282</v>
      </c>
      <c r="F5">
        <v>19804</v>
      </c>
      <c r="G5">
        <v>19777</v>
      </c>
      <c r="H5">
        <v>15856</v>
      </c>
      <c r="I5">
        <v>10427</v>
      </c>
      <c r="J5">
        <v>6659</v>
      </c>
      <c r="K5">
        <v>6176</v>
      </c>
    </row>
    <row r="6" spans="1:52" ht="14.4" x14ac:dyDescent="0.3">
      <c r="A6" s="2" t="s">
        <v>17</v>
      </c>
      <c r="D6" s="3">
        <f t="shared" ref="D6:J6" si="4">D5/C5-1</f>
        <v>0.71718590398365678</v>
      </c>
      <c r="E6" s="3">
        <f t="shared" si="4"/>
        <v>0.35935757305375859</v>
      </c>
      <c r="F6" s="3">
        <f t="shared" si="4"/>
        <v>8.3251285417350385E-2</v>
      </c>
      <c r="G6" s="3">
        <f t="shared" si="4"/>
        <v>-1.3633609371843658E-3</v>
      </c>
      <c r="H6" s="3">
        <f t="shared" si="4"/>
        <v>-0.19826060575415883</v>
      </c>
      <c r="I6" s="3">
        <f t="shared" si="4"/>
        <v>-0.34239404641775983</v>
      </c>
      <c r="J6" s="3">
        <f t="shared" si="4"/>
        <v>-0.36136952143473677</v>
      </c>
      <c r="K6" s="3">
        <f>K5/J5-1</f>
        <v>-7.2533413425439286E-2</v>
      </c>
    </row>
    <row r="7" spans="1:52" x14ac:dyDescent="0.25">
      <c r="A7" s="1" t="s">
        <v>13</v>
      </c>
      <c r="C7" s="1">
        <f t="shared" ref="C7:J7" si="5">C3+C5</f>
        <v>10981</v>
      </c>
      <c r="D7" s="1">
        <f t="shared" si="5"/>
        <v>18985</v>
      </c>
      <c r="E7" s="1">
        <f t="shared" si="5"/>
        <v>25434</v>
      </c>
      <c r="F7" s="1">
        <f t="shared" si="5"/>
        <v>29153</v>
      </c>
      <c r="G7" s="1">
        <f t="shared" si="5"/>
        <v>31244</v>
      </c>
      <c r="H7" s="1">
        <f t="shared" si="5"/>
        <v>28339</v>
      </c>
      <c r="I7" s="1">
        <f t="shared" si="5"/>
        <v>27752</v>
      </c>
      <c r="J7" s="1">
        <f t="shared" si="5"/>
        <v>28401</v>
      </c>
      <c r="K7" s="1">
        <f>K3+K5</f>
        <v>32902</v>
      </c>
      <c r="L7" s="5">
        <f t="shared" ref="L7:U7" si="6">K7*(1+L8)</f>
        <v>34547.1</v>
      </c>
      <c r="M7" s="5">
        <f t="shared" si="6"/>
        <v>36274.455000000002</v>
      </c>
      <c r="N7" s="5">
        <f t="shared" si="6"/>
        <v>38088.177750000003</v>
      </c>
      <c r="O7" s="5">
        <f t="shared" si="6"/>
        <v>39992.586637500004</v>
      </c>
      <c r="P7" s="5">
        <f t="shared" si="6"/>
        <v>41992.215969375007</v>
      </c>
      <c r="Q7" s="5">
        <f t="shared" si="6"/>
        <v>44091.826767843762</v>
      </c>
      <c r="R7" s="5">
        <f t="shared" si="6"/>
        <v>46296.418106235949</v>
      </c>
      <c r="S7" s="5">
        <f t="shared" si="6"/>
        <v>48611.239011547746</v>
      </c>
      <c r="T7" s="5">
        <f t="shared" si="6"/>
        <v>51041.800962125133</v>
      </c>
      <c r="U7" s="5">
        <f t="shared" si="6"/>
        <v>53593.891010231389</v>
      </c>
    </row>
    <row r="8" spans="1:52" ht="14.4" x14ac:dyDescent="0.3">
      <c r="A8" s="2" t="s">
        <v>17</v>
      </c>
      <c r="D8" s="3">
        <f t="shared" ref="D8:K8" si="7">D7/C7-1</f>
        <v>0.72889536472088157</v>
      </c>
      <c r="E8" s="3">
        <f t="shared" si="7"/>
        <v>0.33968922833816162</v>
      </c>
      <c r="F8" s="3">
        <f t="shared" si="7"/>
        <v>0.14622159314303684</v>
      </c>
      <c r="G8" s="3">
        <f t="shared" si="7"/>
        <v>7.1725036874421111E-2</v>
      </c>
      <c r="H8" s="3">
        <f t="shared" si="7"/>
        <v>-9.2977851747535478E-2</v>
      </c>
      <c r="I8" s="3">
        <f t="shared" si="7"/>
        <v>-2.071350435795194E-2</v>
      </c>
      <c r="J8" s="3">
        <f t="shared" si="7"/>
        <v>2.3385701931392333E-2</v>
      </c>
      <c r="K8" s="3">
        <f t="shared" si="7"/>
        <v>0.15848033519946481</v>
      </c>
      <c r="L8" s="4">
        <v>0.05</v>
      </c>
      <c r="M8" s="4">
        <v>0.05</v>
      </c>
      <c r="N8" s="4">
        <v>0.05</v>
      </c>
      <c r="O8" s="4">
        <v>0.05</v>
      </c>
      <c r="P8" s="4">
        <v>0.05</v>
      </c>
      <c r="Q8" s="4">
        <v>0.05</v>
      </c>
      <c r="R8" s="4">
        <v>0.05</v>
      </c>
      <c r="S8" s="4">
        <v>0.05</v>
      </c>
      <c r="T8" s="4">
        <v>0.05</v>
      </c>
      <c r="U8" s="4">
        <v>0.05</v>
      </c>
    </row>
    <row r="9" spans="1:52" x14ac:dyDescent="0.25">
      <c r="A9" t="s">
        <v>14</v>
      </c>
      <c r="C9">
        <v>7171</v>
      </c>
      <c r="D9">
        <v>11708</v>
      </c>
      <c r="E9">
        <v>16761</v>
      </c>
      <c r="F9">
        <v>19851</v>
      </c>
      <c r="G9">
        <v>21840</v>
      </c>
      <c r="H9">
        <v>19566</v>
      </c>
      <c r="I9">
        <v>17957</v>
      </c>
      <c r="J9">
        <v>16376</v>
      </c>
      <c r="K9">
        <v>18367</v>
      </c>
    </row>
    <row r="10" spans="1:52" x14ac:dyDescent="0.25">
      <c r="A10" t="s">
        <v>15</v>
      </c>
      <c r="C10">
        <f t="shared" ref="C10:K10" si="8">C7-C9</f>
        <v>3810</v>
      </c>
      <c r="D10">
        <f t="shared" si="8"/>
        <v>7277</v>
      </c>
      <c r="E10">
        <f t="shared" si="8"/>
        <v>8673</v>
      </c>
      <c r="F10">
        <f t="shared" si="8"/>
        <v>9302</v>
      </c>
      <c r="G10">
        <f t="shared" si="8"/>
        <v>9404</v>
      </c>
      <c r="H10">
        <f t="shared" si="8"/>
        <v>8773</v>
      </c>
      <c r="I10">
        <f t="shared" si="8"/>
        <v>9795</v>
      </c>
      <c r="J10">
        <f t="shared" si="8"/>
        <v>12025</v>
      </c>
      <c r="K10">
        <f t="shared" si="8"/>
        <v>14535</v>
      </c>
    </row>
    <row r="11" spans="1:52" ht="14.4" x14ac:dyDescent="0.3">
      <c r="A11" s="2" t="s">
        <v>16</v>
      </c>
      <c r="C11" s="3">
        <f t="shared" ref="C11:K11" si="9">C10/C7</f>
        <v>0.34696293598032968</v>
      </c>
      <c r="D11" s="3">
        <f t="shared" si="9"/>
        <v>0.38330260732156968</v>
      </c>
      <c r="E11" s="3">
        <f t="shared" si="9"/>
        <v>0.34100023590469453</v>
      </c>
      <c r="F11" s="3">
        <f t="shared" si="9"/>
        <v>0.31907522381916098</v>
      </c>
      <c r="G11" s="3">
        <f t="shared" si="9"/>
        <v>0.30098578927154013</v>
      </c>
      <c r="H11" s="3">
        <f t="shared" si="9"/>
        <v>0.30957337944175872</v>
      </c>
      <c r="I11" s="3">
        <f t="shared" si="9"/>
        <v>0.35294753531277023</v>
      </c>
      <c r="J11" s="3">
        <f t="shared" si="9"/>
        <v>0.42340058448646173</v>
      </c>
      <c r="K11" s="3">
        <f t="shared" si="9"/>
        <v>0.44176645796608111</v>
      </c>
    </row>
    <row r="12" spans="1:52" x14ac:dyDescent="0.25">
      <c r="A12" t="s">
        <v>18</v>
      </c>
      <c r="F12">
        <v>2475</v>
      </c>
      <c r="G12">
        <v>2678</v>
      </c>
      <c r="H12">
        <v>1144</v>
      </c>
      <c r="I12">
        <v>897</v>
      </c>
      <c r="J12">
        <v>865</v>
      </c>
      <c r="K12">
        <v>941</v>
      </c>
    </row>
    <row r="13" spans="1:52" x14ac:dyDescent="0.25">
      <c r="A13" t="s">
        <v>19</v>
      </c>
      <c r="F13">
        <v>3101</v>
      </c>
      <c r="G13">
        <v>4009</v>
      </c>
      <c r="H13">
        <v>4413</v>
      </c>
      <c r="I13">
        <v>4121</v>
      </c>
      <c r="J13">
        <v>3811</v>
      </c>
      <c r="K13">
        <v>3916</v>
      </c>
    </row>
    <row r="14" spans="1:52" x14ac:dyDescent="0.25">
      <c r="A14" t="s">
        <v>20</v>
      </c>
      <c r="C14">
        <v>1593</v>
      </c>
      <c r="D14">
        <v>2039</v>
      </c>
      <c r="E14">
        <v>4622</v>
      </c>
      <c r="F14">
        <f t="shared" ref="F14:H14" si="10">F10-F12-F13</f>
        <v>3726</v>
      </c>
      <c r="G14">
        <f t="shared" si="10"/>
        <v>2717</v>
      </c>
      <c r="H14">
        <f t="shared" si="10"/>
        <v>3216</v>
      </c>
      <c r="I14">
        <f t="shared" ref="I14:J14" si="11">I10-I12-I13</f>
        <v>4777</v>
      </c>
      <c r="J14">
        <f t="shared" si="11"/>
        <v>7349</v>
      </c>
      <c r="K14">
        <f>K10-K12-K13</f>
        <v>9678</v>
      </c>
    </row>
    <row r="15" spans="1:52" x14ac:dyDescent="0.25">
      <c r="A15" t="s">
        <v>21</v>
      </c>
      <c r="F15">
        <v>622</v>
      </c>
      <c r="G15">
        <v>530</v>
      </c>
      <c r="H15">
        <v>711</v>
      </c>
      <c r="I15">
        <v>1052</v>
      </c>
      <c r="J15">
        <v>1196</v>
      </c>
      <c r="K15">
        <v>1054</v>
      </c>
    </row>
    <row r="16" spans="1:52" x14ac:dyDescent="0.25">
      <c r="A16" t="s">
        <v>22</v>
      </c>
      <c r="F16">
        <f t="shared" ref="F16:H16" si="12">F17-F15-F14</f>
        <v>284</v>
      </c>
      <c r="G16">
        <f t="shared" si="12"/>
        <v>385</v>
      </c>
      <c r="H16">
        <f t="shared" si="12"/>
        <v>446</v>
      </c>
      <c r="I16">
        <f>I17-I15-I14</f>
        <v>216</v>
      </c>
      <c r="J16">
        <f>J17-J15-J14</f>
        <v>167</v>
      </c>
      <c r="K16">
        <f>K17-K15-K14</f>
        <v>2545</v>
      </c>
    </row>
    <row r="17" spans="1:52" x14ac:dyDescent="0.25">
      <c r="A17" t="s">
        <v>23</v>
      </c>
      <c r="F17">
        <v>4632</v>
      </c>
      <c r="G17">
        <v>3632</v>
      </c>
      <c r="H17">
        <v>4373</v>
      </c>
      <c r="I17">
        <v>6045</v>
      </c>
      <c r="J17">
        <v>8712</v>
      </c>
      <c r="K17">
        <v>13277</v>
      </c>
    </row>
    <row r="18" spans="1:52" x14ac:dyDescent="0.25">
      <c r="A18" t="s">
        <v>24</v>
      </c>
      <c r="F18">
        <f t="shared" ref="F18:K18" si="13">F19-F17</f>
        <v>-955</v>
      </c>
      <c r="G18">
        <f t="shared" si="13"/>
        <v>-603</v>
      </c>
      <c r="H18">
        <f t="shared" si="13"/>
        <v>-218</v>
      </c>
      <c r="I18">
        <f t="shared" si="13"/>
        <v>-825</v>
      </c>
      <c r="J18">
        <f t="shared" si="13"/>
        <v>-1603</v>
      </c>
      <c r="K18">
        <f t="shared" si="13"/>
        <v>-1924</v>
      </c>
    </row>
    <row r="19" spans="1:52" x14ac:dyDescent="0.25">
      <c r="A19" t="s">
        <v>25</v>
      </c>
      <c r="C19">
        <v>1319</v>
      </c>
      <c r="D19">
        <v>1832</v>
      </c>
      <c r="E19">
        <v>3977</v>
      </c>
      <c r="F19">
        <v>3677</v>
      </c>
      <c r="G19">
        <v>3029</v>
      </c>
      <c r="H19">
        <v>4155</v>
      </c>
      <c r="I19">
        <v>5220</v>
      </c>
      <c r="J19">
        <v>7109</v>
      </c>
      <c r="K19">
        <v>11353</v>
      </c>
      <c r="L19" s="5">
        <f>L20*L7</f>
        <v>10364.129999999999</v>
      </c>
      <c r="M19" s="5">
        <f>M20*M7</f>
        <v>10882.336499999999</v>
      </c>
      <c r="N19" s="5">
        <f>N20*N7</f>
        <v>11426.453325</v>
      </c>
      <c r="O19" s="5">
        <f>O20*O7</f>
        <v>11997.775991250001</v>
      </c>
      <c r="P19" s="5">
        <f>P20*P7</f>
        <v>12597.664790812501</v>
      </c>
    </row>
    <row r="20" spans="1:52" ht="14.4" x14ac:dyDescent="0.3">
      <c r="A20" s="2" t="s">
        <v>26</v>
      </c>
      <c r="C20" s="3">
        <f t="shared" ref="C20:K20" si="14">C19/C7</f>
        <v>0.12011656497586741</v>
      </c>
      <c r="D20" s="3">
        <f t="shared" si="14"/>
        <v>9.6497234658941264E-2</v>
      </c>
      <c r="E20" s="3">
        <f t="shared" si="14"/>
        <v>0.15636549500668398</v>
      </c>
      <c r="F20" s="3">
        <f t="shared" si="14"/>
        <v>0.12612767125167221</v>
      </c>
      <c r="G20" s="3">
        <f t="shared" si="14"/>
        <v>9.6946613749839969E-2</v>
      </c>
      <c r="H20" s="3">
        <f t="shared" si="14"/>
        <v>0.14661773527647412</v>
      </c>
      <c r="I20" s="3">
        <f t="shared" si="14"/>
        <v>0.18809455174401846</v>
      </c>
      <c r="J20" s="3">
        <f t="shared" si="14"/>
        <v>0.25030808774338931</v>
      </c>
      <c r="K20" s="3">
        <f t="shared" si="14"/>
        <v>0.34505501185338278</v>
      </c>
      <c r="L20" s="4">
        <v>0.3</v>
      </c>
      <c r="M20" s="4">
        <v>0.3</v>
      </c>
      <c r="N20" s="4">
        <v>0.3</v>
      </c>
      <c r="O20" s="4">
        <v>0.3</v>
      </c>
      <c r="P20" s="4">
        <v>0.3</v>
      </c>
    </row>
    <row r="21" spans="1:52" x14ac:dyDescent="0.25">
      <c r="A21" t="s">
        <v>3</v>
      </c>
      <c r="I21">
        <v>1584</v>
      </c>
      <c r="J21">
        <v>1565</v>
      </c>
      <c r="K21">
        <v>1554</v>
      </c>
      <c r="L21" s="5">
        <f>K21*(1+L23)</f>
        <v>1538.46</v>
      </c>
      <c r="M21" s="5">
        <f t="shared" ref="M21:P21" si="15">L21*(1+M23)</f>
        <v>1523.0753999999999</v>
      </c>
      <c r="N21" s="5">
        <f t="shared" si="15"/>
        <v>1507.844646</v>
      </c>
      <c r="O21" s="5">
        <f t="shared" si="15"/>
        <v>1492.7661995399999</v>
      </c>
      <c r="P21" s="5">
        <f t="shared" si="15"/>
        <v>1477.8385375445998</v>
      </c>
    </row>
    <row r="22" spans="1:52" x14ac:dyDescent="0.25">
      <c r="A22" t="s">
        <v>27</v>
      </c>
      <c r="I22" s="6">
        <f t="shared" ref="I22:J22" si="16">I19/I21</f>
        <v>3.2954545454545454</v>
      </c>
      <c r="J22" s="6">
        <f t="shared" si="16"/>
        <v>4.5424920127795527</v>
      </c>
      <c r="K22" s="6">
        <f>K19/K21</f>
        <v>7.3056628056628057</v>
      </c>
      <c r="L22" s="6">
        <f t="shared" ref="L22:P22" si="17">L19/L21</f>
        <v>6.7366912366912359</v>
      </c>
      <c r="M22" s="6">
        <f t="shared" si="17"/>
        <v>7.1449755540664635</v>
      </c>
      <c r="N22" s="6">
        <f t="shared" si="17"/>
        <v>7.5780043755250368</v>
      </c>
      <c r="O22" s="6">
        <f t="shared" si="17"/>
        <v>8.0372773679811012</v>
      </c>
      <c r="P22" s="6">
        <f t="shared" si="17"/>
        <v>8.5243850872526838</v>
      </c>
    </row>
    <row r="23" spans="1:52" ht="14.4" x14ac:dyDescent="0.3">
      <c r="A23" s="2" t="s">
        <v>28</v>
      </c>
      <c r="J23" s="3">
        <f>J21/I21-1</f>
        <v>-1.1994949494949503E-2</v>
      </c>
      <c r="K23" s="3">
        <f>K21/J21-1</f>
        <v>-7.0287539936102483E-3</v>
      </c>
      <c r="L23" s="4">
        <v>-0.01</v>
      </c>
      <c r="M23" s="4">
        <v>-0.01</v>
      </c>
      <c r="N23" s="4">
        <v>-0.01</v>
      </c>
      <c r="O23" s="4">
        <v>-0.01</v>
      </c>
      <c r="P23" s="4">
        <v>-0.01</v>
      </c>
    </row>
    <row r="25" spans="1:52" x14ac:dyDescent="0.25">
      <c r="A25" t="s">
        <v>29</v>
      </c>
      <c r="C25">
        <v>2500</v>
      </c>
      <c r="D25">
        <v>5632</v>
      </c>
      <c r="E25">
        <v>6200</v>
      </c>
      <c r="F25">
        <v>4945</v>
      </c>
      <c r="G25">
        <v>5370</v>
      </c>
      <c r="H25">
        <v>7627</v>
      </c>
      <c r="I25">
        <v>7337</v>
      </c>
      <c r="J25">
        <v>10275</v>
      </c>
      <c r="K25">
        <v>10231</v>
      </c>
    </row>
    <row r="26" spans="1:52" x14ac:dyDescent="0.25">
      <c r="A26" t="s">
        <v>30</v>
      </c>
      <c r="C26">
        <f>75+2</f>
        <v>77</v>
      </c>
      <c r="D26">
        <f>132+12</f>
        <v>144</v>
      </c>
      <c r="E26">
        <f>95+191</f>
        <v>286</v>
      </c>
      <c r="F26">
        <f>108+393</f>
        <v>501</v>
      </c>
      <c r="G26">
        <f>159+1095</f>
        <v>1254</v>
      </c>
      <c r="H26">
        <f>85+442</f>
        <v>527</v>
      </c>
      <c r="I26">
        <f>165+456</f>
        <v>621</v>
      </c>
      <c r="J26">
        <f>319+713</f>
        <v>1032</v>
      </c>
      <c r="K26">
        <f>305+883</f>
        <v>1188</v>
      </c>
    </row>
    <row r="27" spans="1:52" x14ac:dyDescent="0.25">
      <c r="A27" t="s">
        <v>31</v>
      </c>
      <c r="C27">
        <f t="shared" ref="C27:E27" si="18">C25-C26</f>
        <v>2423</v>
      </c>
      <c r="D27">
        <f t="shared" si="18"/>
        <v>5488</v>
      </c>
      <c r="E27">
        <f t="shared" si="18"/>
        <v>5914</v>
      </c>
      <c r="F27">
        <f t="shared" ref="F27:H27" si="19">F25-F26</f>
        <v>4444</v>
      </c>
      <c r="G27">
        <f t="shared" si="19"/>
        <v>4116</v>
      </c>
      <c r="H27">
        <f t="shared" si="19"/>
        <v>7100</v>
      </c>
      <c r="I27">
        <f t="shared" ref="I27:J27" si="20">I25-I26</f>
        <v>6716</v>
      </c>
      <c r="J27">
        <f t="shared" si="20"/>
        <v>9243</v>
      </c>
      <c r="K27">
        <f>K25-K26</f>
        <v>9043</v>
      </c>
      <c r="L27" s="5">
        <f t="shared" ref="L27:U27" si="21">L28*L7</f>
        <v>8291.3040000000001</v>
      </c>
      <c r="M27" s="5">
        <f t="shared" si="21"/>
        <v>8705.869200000001</v>
      </c>
      <c r="N27" s="5">
        <f t="shared" si="21"/>
        <v>9141.16266</v>
      </c>
      <c r="O27" s="5">
        <f t="shared" si="21"/>
        <v>9598.2207930000004</v>
      </c>
      <c r="P27" s="5">
        <f t="shared" si="21"/>
        <v>10078.131832650002</v>
      </c>
      <c r="Q27" s="5">
        <f t="shared" si="21"/>
        <v>10582.038424282502</v>
      </c>
      <c r="R27" s="5">
        <f t="shared" si="21"/>
        <v>11111.140345496628</v>
      </c>
      <c r="S27" s="5">
        <f t="shared" si="21"/>
        <v>11666.697362771458</v>
      </c>
      <c r="T27" s="5">
        <f t="shared" si="21"/>
        <v>12250.032230910032</v>
      </c>
      <c r="U27" s="5">
        <f t="shared" si="21"/>
        <v>12862.533842455532</v>
      </c>
      <c r="V27" s="5">
        <f>U27*(1+$M$31)</f>
        <v>12605.283165606421</v>
      </c>
      <c r="W27" s="5">
        <f t="shared" ref="W27:AZ27" si="22">V27*(1+$M$31)</f>
        <v>12353.177502294293</v>
      </c>
      <c r="X27" s="5">
        <f t="shared" si="22"/>
        <v>12106.113952248406</v>
      </c>
      <c r="Y27" s="5">
        <f t="shared" si="22"/>
        <v>11863.991673203438</v>
      </c>
      <c r="Z27" s="5">
        <f t="shared" si="22"/>
        <v>11626.71183973937</v>
      </c>
      <c r="AA27" s="5">
        <f t="shared" si="22"/>
        <v>11394.177602944583</v>
      </c>
      <c r="AB27" s="5">
        <f t="shared" si="22"/>
        <v>11166.29405088569</v>
      </c>
      <c r="AC27" s="5">
        <f t="shared" si="22"/>
        <v>10942.968169867976</v>
      </c>
      <c r="AD27" s="5">
        <f t="shared" si="22"/>
        <v>10724.108806470616</v>
      </c>
      <c r="AE27" s="5">
        <f t="shared" si="22"/>
        <v>10509.626630341203</v>
      </c>
      <c r="AF27" s="5">
        <f t="shared" si="22"/>
        <v>10299.434097734378</v>
      </c>
      <c r="AG27" s="5">
        <f t="shared" si="22"/>
        <v>10093.44541577969</v>
      </c>
      <c r="AH27" s="5">
        <f t="shared" si="22"/>
        <v>9891.5765074640967</v>
      </c>
      <c r="AI27" s="5">
        <f t="shared" si="22"/>
        <v>9693.7449773148146</v>
      </c>
      <c r="AJ27" s="5">
        <f t="shared" si="22"/>
        <v>9499.870077768519</v>
      </c>
      <c r="AK27" s="5">
        <f t="shared" si="22"/>
        <v>9309.8726762131482</v>
      </c>
      <c r="AL27" s="5">
        <f t="shared" si="22"/>
        <v>9123.6752226888857</v>
      </c>
      <c r="AM27" s="5">
        <f t="shared" si="22"/>
        <v>8941.2017182351083</v>
      </c>
      <c r="AN27" s="5">
        <f t="shared" si="22"/>
        <v>8762.3776838704052</v>
      </c>
      <c r="AO27" s="5">
        <f t="shared" si="22"/>
        <v>8587.1301301929961</v>
      </c>
      <c r="AP27" s="5">
        <f t="shared" si="22"/>
        <v>8415.3875275891369</v>
      </c>
      <c r="AQ27" s="5">
        <f t="shared" si="22"/>
        <v>8247.0797770373538</v>
      </c>
      <c r="AR27" s="5">
        <f t="shared" si="22"/>
        <v>8082.1381814966062</v>
      </c>
      <c r="AS27" s="5">
        <f t="shared" si="22"/>
        <v>7920.495417866674</v>
      </c>
      <c r="AT27" s="5">
        <f t="shared" si="22"/>
        <v>7762.0855095093402</v>
      </c>
      <c r="AU27" s="5">
        <f t="shared" si="22"/>
        <v>7606.8437993191537</v>
      </c>
      <c r="AV27" s="5">
        <f t="shared" si="22"/>
        <v>7454.7069233327702</v>
      </c>
      <c r="AW27" s="5">
        <f t="shared" si="22"/>
        <v>7305.6127848661145</v>
      </c>
      <c r="AX27" s="5">
        <f t="shared" si="22"/>
        <v>7159.5005291687921</v>
      </c>
      <c r="AY27" s="5">
        <f t="shared" si="22"/>
        <v>7016.3105185854165</v>
      </c>
      <c r="AZ27" s="5">
        <f t="shared" si="22"/>
        <v>6875.9843082137077</v>
      </c>
    </row>
    <row r="28" spans="1:52" x14ac:dyDescent="0.25">
      <c r="A28" t="s">
        <v>32</v>
      </c>
      <c r="C28" s="3">
        <f t="shared" ref="C28:K28" si="23">C27/C7</f>
        <v>0.22065385666150625</v>
      </c>
      <c r="D28" s="3">
        <f t="shared" si="23"/>
        <v>0.28907031867263627</v>
      </c>
      <c r="E28" s="3">
        <f t="shared" si="23"/>
        <v>0.23252339388220492</v>
      </c>
      <c r="F28" s="3">
        <f t="shared" si="23"/>
        <v>0.15243714197509689</v>
      </c>
      <c r="G28" s="3">
        <f t="shared" si="23"/>
        <v>0.13173729356036359</v>
      </c>
      <c r="H28" s="3">
        <f t="shared" si="23"/>
        <v>0.25053812766858391</v>
      </c>
      <c r="I28" s="3">
        <f t="shared" si="23"/>
        <v>0.24200057653502449</v>
      </c>
      <c r="J28" s="3">
        <f t="shared" si="23"/>
        <v>0.32544628710256679</v>
      </c>
      <c r="K28" s="3">
        <f t="shared" si="23"/>
        <v>0.27484651388973314</v>
      </c>
      <c r="L28" s="4">
        <v>0.24</v>
      </c>
      <c r="M28" s="4">
        <v>0.24</v>
      </c>
      <c r="N28" s="4">
        <v>0.24</v>
      </c>
      <c r="O28" s="4">
        <v>0.24</v>
      </c>
      <c r="P28" s="4">
        <v>0.24</v>
      </c>
      <c r="Q28" s="4">
        <v>0.24</v>
      </c>
      <c r="R28" s="4">
        <v>0.24</v>
      </c>
      <c r="S28" s="4">
        <v>0.24</v>
      </c>
      <c r="T28" s="4">
        <v>0.24</v>
      </c>
      <c r="U28" s="4">
        <v>0.24</v>
      </c>
    </row>
    <row r="29" spans="1:52" x14ac:dyDescent="0.25">
      <c r="E29" s="4"/>
      <c r="G29" s="4"/>
    </row>
    <row r="30" spans="1:52" x14ac:dyDescent="0.25">
      <c r="L30" s="1" t="s">
        <v>33</v>
      </c>
      <c r="O30" s="1" t="s">
        <v>39</v>
      </c>
    </row>
    <row r="31" spans="1:52" x14ac:dyDescent="0.25">
      <c r="L31" t="s">
        <v>34</v>
      </c>
      <c r="M31" s="4">
        <v>-0.02</v>
      </c>
      <c r="O31" t="s">
        <v>9</v>
      </c>
      <c r="P31">
        <v>5</v>
      </c>
      <c r="Q31">
        <v>10</v>
      </c>
      <c r="R31">
        <v>15</v>
      </c>
      <c r="S31">
        <v>20</v>
      </c>
    </row>
    <row r="32" spans="1:52" x14ac:dyDescent="0.25">
      <c r="L32" t="s">
        <v>35</v>
      </c>
      <c r="M32" s="4">
        <v>0.08</v>
      </c>
      <c r="O32" t="s">
        <v>2</v>
      </c>
      <c r="P32" s="6">
        <f>main!J4*(1/0.15)</f>
        <v>61.666666666666671</v>
      </c>
      <c r="Q32" s="6">
        <f>P32</f>
        <v>61.666666666666671</v>
      </c>
      <c r="R32" s="6">
        <f>Q32</f>
        <v>61.666666666666671</v>
      </c>
      <c r="S32" s="6">
        <f>R32</f>
        <v>61.666666666666671</v>
      </c>
    </row>
    <row r="33" spans="12:19" x14ac:dyDescent="0.25">
      <c r="L33" t="s">
        <v>36</v>
      </c>
      <c r="M33" s="5">
        <f>NPV(M32,L27:AZ27)</f>
        <v>123367.16690364684</v>
      </c>
      <c r="O33" t="s">
        <v>40</v>
      </c>
      <c r="P33" s="6">
        <f>P31*$P$22</f>
        <v>42.621925436263417</v>
      </c>
      <c r="Q33" s="6">
        <f t="shared" ref="Q33:S33" si="24">Q31*$P$22</f>
        <v>85.243850872526835</v>
      </c>
      <c r="R33" s="6">
        <f t="shared" si="24"/>
        <v>127.86577630879026</v>
      </c>
      <c r="S33" s="6">
        <f t="shared" si="24"/>
        <v>170.48770174505367</v>
      </c>
    </row>
    <row r="34" spans="12:19" x14ac:dyDescent="0.25">
      <c r="L34" t="s">
        <v>37</v>
      </c>
      <c r="M34">
        <v>0.15</v>
      </c>
      <c r="O34" t="s">
        <v>38</v>
      </c>
      <c r="P34" s="3">
        <f>P33/P32-1</f>
        <v>-0.30883364157410675</v>
      </c>
      <c r="Q34" s="3">
        <f t="shared" ref="Q34:S34" si="25">Q33/Q32-1</f>
        <v>0.38233271685178649</v>
      </c>
      <c r="R34" s="3">
        <f t="shared" si="25"/>
        <v>1.0734990752776796</v>
      </c>
      <c r="S34" s="3">
        <f t="shared" si="25"/>
        <v>1.764665433703573</v>
      </c>
    </row>
    <row r="35" spans="12:19" x14ac:dyDescent="0.25">
      <c r="L35" t="s">
        <v>36</v>
      </c>
      <c r="M35" s="5">
        <f>M33*M34</f>
        <v>18505.075035547026</v>
      </c>
      <c r="O35" t="s">
        <v>41</v>
      </c>
      <c r="P35" s="3">
        <f>(P33/P32)^(1/5)-1</f>
        <v>-7.1212165517960391E-2</v>
      </c>
      <c r="Q35" s="3">
        <f t="shared" ref="Q35:S35" si="26">(Q33/Q32)^(1/5)-1</f>
        <v>6.6897057610777244E-2</v>
      </c>
      <c r="R35" s="3">
        <f t="shared" si="26"/>
        <v>0.15701974175277278</v>
      </c>
      <c r="S35" s="3">
        <f t="shared" si="26"/>
        <v>0.22554289502867686</v>
      </c>
    </row>
    <row r="36" spans="12:19" x14ac:dyDescent="0.25">
      <c r="L36" t="s">
        <v>4</v>
      </c>
      <c r="M36" s="5">
        <f>main!J6</f>
        <v>14374.5</v>
      </c>
    </row>
    <row r="37" spans="12:19" x14ac:dyDescent="0.25">
      <c r="L37" t="s">
        <v>38</v>
      </c>
      <c r="M37" s="3">
        <f>M35/M36-1</f>
        <v>0.28735434523267078</v>
      </c>
    </row>
    <row r="38" spans="12:19" x14ac:dyDescent="0.25">
      <c r="L38" t="s">
        <v>3</v>
      </c>
      <c r="M38">
        <f>main!J5</f>
        <v>1554</v>
      </c>
    </row>
    <row r="39" spans="12:19" x14ac:dyDescent="0.25">
      <c r="L39" t="s">
        <v>42</v>
      </c>
      <c r="M39" s="6">
        <f>M35/M38</f>
        <v>11.908027693402206</v>
      </c>
    </row>
  </sheetData>
  <pageMargins left="0.7" right="0.7" top="0.75" bottom="0.75" header="0.3" footer="0.3"/>
  <pageSetup paperSize="9" orientation="portrait" r:id="rId1"/>
  <ignoredErrors>
    <ignoredError sqref="C7:K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D16E2-C0E2-4906-BE44-6FE2C1885B92}">
  <dimension ref="A1:H45"/>
  <sheetViews>
    <sheetView zoomScale="130" zoomScaleNormal="130" workbookViewId="0">
      <pane ySplit="1" topLeftCell="A2" activePane="bottomLeft" state="frozen"/>
      <selection pane="bottomLeft" activeCell="G24" sqref="G24"/>
    </sheetView>
  </sheetViews>
  <sheetFormatPr defaultRowHeight="13.8" x14ac:dyDescent="0.25"/>
  <cols>
    <col min="1" max="1" width="11.69921875" customWidth="1"/>
  </cols>
  <sheetData>
    <row r="1" spans="1:7" x14ac:dyDescent="0.25">
      <c r="C1">
        <v>2021</v>
      </c>
      <c r="D1">
        <f t="shared" ref="D1:E1" si="0">C1+1</f>
        <v>2022</v>
      </c>
      <c r="E1">
        <f t="shared" si="0"/>
        <v>2023</v>
      </c>
      <c r="F1">
        <f>E1+1</f>
        <v>2024</v>
      </c>
      <c r="G1">
        <f t="shared" ref="G1" si="1">F1+1</f>
        <v>2025</v>
      </c>
    </row>
    <row r="3" spans="1:7" x14ac:dyDescent="0.25">
      <c r="A3" t="s">
        <v>56</v>
      </c>
      <c r="C3">
        <v>243</v>
      </c>
      <c r="D3">
        <v>323</v>
      </c>
      <c r="F3">
        <v>803</v>
      </c>
      <c r="G3">
        <v>1201</v>
      </c>
    </row>
    <row r="4" spans="1:7" x14ac:dyDescent="0.25">
      <c r="A4" t="s">
        <v>57</v>
      </c>
      <c r="C4">
        <v>1495</v>
      </c>
      <c r="D4">
        <v>2480</v>
      </c>
      <c r="F4">
        <v>2364</v>
      </c>
      <c r="G4">
        <v>2290</v>
      </c>
    </row>
    <row r="5" spans="1:7" x14ac:dyDescent="0.25">
      <c r="A5" t="s">
        <v>58</v>
      </c>
      <c r="C5">
        <v>283</v>
      </c>
      <c r="D5">
        <v>398</v>
      </c>
      <c r="F5">
        <v>295</v>
      </c>
      <c r="G5">
        <v>287</v>
      </c>
    </row>
    <row r="6" spans="1:7" x14ac:dyDescent="0.25">
      <c r="A6" t="s">
        <v>59</v>
      </c>
      <c r="C6">
        <v>2829</v>
      </c>
      <c r="D6">
        <v>2368</v>
      </c>
      <c r="F6">
        <v>2049</v>
      </c>
      <c r="G6">
        <v>2899</v>
      </c>
    </row>
    <row r="7" spans="1:7" x14ac:dyDescent="0.25">
      <c r="A7" t="s">
        <v>60</v>
      </c>
      <c r="C7">
        <v>19121</v>
      </c>
      <c r="D7">
        <v>19493</v>
      </c>
      <c r="F7">
        <v>19647</v>
      </c>
      <c r="G7">
        <v>20521</v>
      </c>
    </row>
    <row r="8" spans="1:7" x14ac:dyDescent="0.25">
      <c r="A8" t="s">
        <v>61</v>
      </c>
      <c r="C8">
        <v>3599</v>
      </c>
      <c r="D8">
        <v>4330</v>
      </c>
      <c r="F8">
        <v>4669</v>
      </c>
      <c r="G8">
        <v>1659</v>
      </c>
    </row>
    <row r="9" spans="1:7" x14ac:dyDescent="0.25">
      <c r="A9" t="s">
        <v>62</v>
      </c>
      <c r="C9">
        <v>7302</v>
      </c>
      <c r="D9">
        <v>3168</v>
      </c>
      <c r="F9">
        <v>14498</v>
      </c>
      <c r="G9">
        <v>26231</v>
      </c>
    </row>
    <row r="10" spans="1:7" x14ac:dyDescent="0.25">
      <c r="A10" t="s">
        <v>63</v>
      </c>
      <c r="C10">
        <v>199</v>
      </c>
      <c r="D10">
        <v>304</v>
      </c>
      <c r="F10">
        <v>309</v>
      </c>
      <c r="G10">
        <v>303</v>
      </c>
    </row>
    <row r="11" spans="1:7" x14ac:dyDescent="0.25">
      <c r="A11" t="s">
        <v>66</v>
      </c>
      <c r="C11">
        <v>743</v>
      </c>
      <c r="D11">
        <v>709</v>
      </c>
      <c r="F11">
        <v>425</v>
      </c>
      <c r="G11">
        <v>365</v>
      </c>
    </row>
    <row r="12" spans="1:7" x14ac:dyDescent="0.25">
      <c r="A12" t="s">
        <v>65</v>
      </c>
      <c r="C12">
        <v>346</v>
      </c>
      <c r="D12">
        <v>347</v>
      </c>
      <c r="F12">
        <v>422</v>
      </c>
      <c r="G12">
        <v>498</v>
      </c>
    </row>
    <row r="13" spans="1:7" x14ac:dyDescent="0.25">
      <c r="A13" t="s">
        <v>64</v>
      </c>
      <c r="C13">
        <v>4303</v>
      </c>
      <c r="D13">
        <v>6530</v>
      </c>
      <c r="F13">
        <v>10419</v>
      </c>
      <c r="G13">
        <v>13810</v>
      </c>
    </row>
    <row r="14" spans="1:7" x14ac:dyDescent="0.25">
      <c r="A14" s="1" t="s">
        <v>67</v>
      </c>
      <c r="C14">
        <f>SUM(C3:C13)</f>
        <v>40463</v>
      </c>
      <c r="D14">
        <f>SUM(D3:D13)</f>
        <v>40450</v>
      </c>
      <c r="F14">
        <f>SUM(F3:F13)</f>
        <v>55900</v>
      </c>
      <c r="G14">
        <f>SUM(G3:G13)</f>
        <v>70064</v>
      </c>
    </row>
    <row r="16" spans="1:7" x14ac:dyDescent="0.25">
      <c r="A16" t="s">
        <v>68</v>
      </c>
      <c r="C16">
        <v>24</v>
      </c>
      <c r="D16">
        <v>14</v>
      </c>
      <c r="F16">
        <v>23</v>
      </c>
      <c r="G16">
        <v>41</v>
      </c>
    </row>
    <row r="17" spans="1:8" x14ac:dyDescent="0.25">
      <c r="A17" t="s">
        <v>69</v>
      </c>
      <c r="C17">
        <v>3610</v>
      </c>
      <c r="D17">
        <v>2670</v>
      </c>
      <c r="F17">
        <v>3508</v>
      </c>
      <c r="G17">
        <v>3903</v>
      </c>
    </row>
    <row r="18" spans="1:8" x14ac:dyDescent="0.25">
      <c r="A18" t="s">
        <v>66</v>
      </c>
      <c r="C18">
        <v>2731</v>
      </c>
      <c r="D18">
        <v>2958</v>
      </c>
      <c r="F18">
        <v>3793</v>
      </c>
      <c r="G18">
        <v>4183</v>
      </c>
    </row>
    <row r="19" spans="1:8" x14ac:dyDescent="0.25">
      <c r="A19" t="s">
        <v>63</v>
      </c>
      <c r="C19">
        <v>37</v>
      </c>
      <c r="D19">
        <v>37</v>
      </c>
      <c r="F19">
        <v>46</v>
      </c>
      <c r="G19">
        <v>83</v>
      </c>
    </row>
    <row r="20" spans="1:8" x14ac:dyDescent="0.25">
      <c r="A20" t="s">
        <v>70</v>
      </c>
      <c r="C20">
        <v>1029</v>
      </c>
    </row>
    <row r="21" spans="1:8" x14ac:dyDescent="0.25">
      <c r="A21" t="s">
        <v>64</v>
      </c>
      <c r="C21">
        <v>12769</v>
      </c>
      <c r="D21">
        <v>11291</v>
      </c>
      <c r="F21">
        <v>13999</v>
      </c>
      <c r="G21">
        <v>15763</v>
      </c>
    </row>
    <row r="22" spans="1:8" x14ac:dyDescent="0.25">
      <c r="A22" t="s">
        <v>71</v>
      </c>
      <c r="C22">
        <v>0</v>
      </c>
      <c r="D22">
        <v>34</v>
      </c>
      <c r="F22">
        <v>11</v>
      </c>
      <c r="G22">
        <v>15</v>
      </c>
    </row>
    <row r="23" spans="1:8" x14ac:dyDescent="0.25">
      <c r="A23" t="s">
        <v>5</v>
      </c>
      <c r="C23">
        <v>6591</v>
      </c>
      <c r="D23">
        <v>9555</v>
      </c>
      <c r="F23">
        <v>13164</v>
      </c>
      <c r="G23">
        <v>8470</v>
      </c>
    </row>
    <row r="24" spans="1:8" x14ac:dyDescent="0.25">
      <c r="A24" t="s">
        <v>72</v>
      </c>
      <c r="C24">
        <v>26791</v>
      </c>
      <c r="D24">
        <f>SUM(D16:D23)</f>
        <v>26559</v>
      </c>
      <c r="F24">
        <f>SUM(F16:F23)</f>
        <v>34544</v>
      </c>
      <c r="G24">
        <f>SUM(G16:G23)</f>
        <v>32458</v>
      </c>
    </row>
    <row r="25" spans="1:8" x14ac:dyDescent="0.25">
      <c r="A25" s="1" t="s">
        <v>73</v>
      </c>
      <c r="C25" s="1">
        <f>C14+C24</f>
        <v>67254</v>
      </c>
      <c r="D25" s="1">
        <f>D14+D24</f>
        <v>67009</v>
      </c>
      <c r="E25" s="1"/>
      <c r="F25" s="1">
        <f>F14+F24</f>
        <v>90444</v>
      </c>
      <c r="G25" s="1">
        <f>G14+G24</f>
        <v>102522</v>
      </c>
      <c r="H25" s="1"/>
    </row>
    <row r="27" spans="1:8" x14ac:dyDescent="0.25">
      <c r="A27" t="s">
        <v>75</v>
      </c>
      <c r="C27">
        <v>5062</v>
      </c>
      <c r="D27">
        <v>5536</v>
      </c>
      <c r="F27">
        <v>3572</v>
      </c>
      <c r="G27">
        <v>3497</v>
      </c>
    </row>
    <row r="28" spans="1:8" x14ac:dyDescent="0.25">
      <c r="A28" t="s">
        <v>76</v>
      </c>
      <c r="C28">
        <v>93</v>
      </c>
      <c r="D28">
        <v>0</v>
      </c>
    </row>
    <row r="29" spans="1:8" x14ac:dyDescent="0.25">
      <c r="A29" t="s">
        <v>22</v>
      </c>
      <c r="C29">
        <v>32</v>
      </c>
      <c r="D29">
        <v>6</v>
      </c>
      <c r="G29">
        <v>379</v>
      </c>
    </row>
    <row r="30" spans="1:8" x14ac:dyDescent="0.25">
      <c r="A30" t="s">
        <v>65</v>
      </c>
      <c r="C30">
        <v>271</v>
      </c>
      <c r="D30">
        <v>211</v>
      </c>
      <c r="F30">
        <v>198</v>
      </c>
      <c r="G30">
        <v>504</v>
      </c>
    </row>
    <row r="31" spans="1:8" x14ac:dyDescent="0.25">
      <c r="A31" t="s">
        <v>77</v>
      </c>
      <c r="C31">
        <v>205</v>
      </c>
      <c r="D31">
        <v>306</v>
      </c>
      <c r="F31">
        <v>219</v>
      </c>
      <c r="G31">
        <v>200</v>
      </c>
    </row>
    <row r="32" spans="1:8" x14ac:dyDescent="0.25">
      <c r="A32" t="s">
        <v>78</v>
      </c>
      <c r="C32">
        <v>86</v>
      </c>
      <c r="D32">
        <v>106</v>
      </c>
      <c r="F32">
        <v>179</v>
      </c>
      <c r="G32">
        <v>303</v>
      </c>
    </row>
    <row r="33" spans="1:7" x14ac:dyDescent="0.25">
      <c r="A33" t="s">
        <v>79</v>
      </c>
      <c r="C33">
        <f>SUM(C27:C32)</f>
        <v>5749</v>
      </c>
      <c r="D33">
        <f>SUM(D27:D32)</f>
        <v>6165</v>
      </c>
      <c r="F33">
        <f>SUM(F27:F32)</f>
        <v>4168</v>
      </c>
      <c r="G33">
        <f>SUM(G27:G32)</f>
        <v>4883</v>
      </c>
    </row>
    <row r="35" spans="1:7" x14ac:dyDescent="0.25">
      <c r="A35" t="s">
        <v>76</v>
      </c>
      <c r="C35">
        <v>4329</v>
      </c>
      <c r="D35">
        <v>4998</v>
      </c>
      <c r="F35">
        <v>6879</v>
      </c>
      <c r="G35">
        <v>6284</v>
      </c>
    </row>
    <row r="36" spans="1:7" x14ac:dyDescent="0.25">
      <c r="A36" t="s">
        <v>22</v>
      </c>
      <c r="C36">
        <v>3832</v>
      </c>
      <c r="D36">
        <v>4022</v>
      </c>
      <c r="F36">
        <v>3381</v>
      </c>
      <c r="G36">
        <v>3558</v>
      </c>
    </row>
    <row r="37" spans="1:7" x14ac:dyDescent="0.25">
      <c r="A37" t="s">
        <v>80</v>
      </c>
      <c r="C37">
        <v>363</v>
      </c>
      <c r="D37">
        <v>404</v>
      </c>
      <c r="F37">
        <v>934</v>
      </c>
      <c r="G37">
        <v>1092</v>
      </c>
    </row>
    <row r="38" spans="1:7" x14ac:dyDescent="0.25">
      <c r="A38" t="s">
        <v>77</v>
      </c>
      <c r="C38">
        <v>92</v>
      </c>
      <c r="D38">
        <v>123</v>
      </c>
      <c r="F38">
        <v>106</v>
      </c>
      <c r="G38">
        <v>116</v>
      </c>
    </row>
    <row r="39" spans="1:7" x14ac:dyDescent="0.25">
      <c r="A39" t="s">
        <v>74</v>
      </c>
      <c r="F39">
        <v>2154</v>
      </c>
    </row>
    <row r="40" spans="1:7" x14ac:dyDescent="0.25">
      <c r="A40" t="s">
        <v>78</v>
      </c>
      <c r="C40">
        <v>1834</v>
      </c>
      <c r="D40">
        <v>2170</v>
      </c>
      <c r="F40">
        <v>3096</v>
      </c>
      <c r="G40">
        <v>3539</v>
      </c>
    </row>
    <row r="41" spans="1:7" x14ac:dyDescent="0.25">
      <c r="A41" t="s">
        <v>81</v>
      </c>
      <c r="C41">
        <f>SUM(C35:C40)</f>
        <v>10450</v>
      </c>
      <c r="D41">
        <f>SUM(D35:D40)</f>
        <v>11717</v>
      </c>
      <c r="F41">
        <f>SUM(F35:F40)</f>
        <v>16550</v>
      </c>
      <c r="G41">
        <f>SUM(G35:G40)</f>
        <v>14589</v>
      </c>
    </row>
    <row r="42" spans="1:7" x14ac:dyDescent="0.25">
      <c r="A42" s="1" t="s">
        <v>82</v>
      </c>
      <c r="C42" s="1">
        <f>C33+C41</f>
        <v>16199</v>
      </c>
      <c r="D42" s="1">
        <f>D33+D41</f>
        <v>17882</v>
      </c>
      <c r="E42" s="1"/>
      <c r="F42" s="1">
        <f>F33+F41</f>
        <v>20718</v>
      </c>
      <c r="G42" s="1">
        <f>G33+G41</f>
        <v>19472</v>
      </c>
    </row>
    <row r="44" spans="1:7" x14ac:dyDescent="0.25">
      <c r="A44" t="s">
        <v>83</v>
      </c>
      <c r="C44">
        <f>C25-C42</f>
        <v>51055</v>
      </c>
      <c r="D44">
        <f>D25-D42</f>
        <v>49127</v>
      </c>
      <c r="F44">
        <f t="shared" ref="F44:G44" si="2">F25-F42</f>
        <v>69726</v>
      </c>
      <c r="G44">
        <f t="shared" si="2"/>
        <v>83050</v>
      </c>
    </row>
    <row r="45" spans="1:7" x14ac:dyDescent="0.25">
      <c r="A45" t="s">
        <v>84</v>
      </c>
      <c r="C45">
        <f>C24-C42</f>
        <v>10592</v>
      </c>
      <c r="D45">
        <f>D24-D42</f>
        <v>8677</v>
      </c>
      <c r="F45">
        <f t="shared" ref="F45:G45" si="3">F24-F42</f>
        <v>13826</v>
      </c>
      <c r="G45">
        <f t="shared" si="3"/>
        <v>12986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9A21E-C575-4574-B64E-5CCE86A2B47D}">
  <dimension ref="A1:P13"/>
  <sheetViews>
    <sheetView tabSelected="1" zoomScale="130" zoomScaleNormal="130" workbookViewId="0">
      <selection activeCell="M5" sqref="M5"/>
    </sheetView>
  </sheetViews>
  <sheetFormatPr defaultRowHeight="13.8" x14ac:dyDescent="0.25"/>
  <cols>
    <col min="1" max="1" width="14.796875" customWidth="1"/>
  </cols>
  <sheetData>
    <row r="1" spans="1:16" ht="14.4" x14ac:dyDescent="0.3">
      <c r="A1" s="2" t="s">
        <v>53</v>
      </c>
      <c r="C1">
        <v>2017</v>
      </c>
      <c r="D1">
        <f t="shared" ref="D1:I1" si="0">C1+1</f>
        <v>2018</v>
      </c>
      <c r="E1">
        <f t="shared" si="0"/>
        <v>2019</v>
      </c>
      <c r="F1">
        <f t="shared" si="0"/>
        <v>2020</v>
      </c>
      <c r="G1">
        <f t="shared" si="0"/>
        <v>2021</v>
      </c>
      <c r="H1">
        <f t="shared" si="0"/>
        <v>2022</v>
      </c>
      <c r="I1">
        <f t="shared" si="0"/>
        <v>2023</v>
      </c>
      <c r="J1">
        <f>I1+1</f>
        <v>2024</v>
      </c>
      <c r="K1">
        <f t="shared" ref="K1" si="1">J1+1</f>
        <v>2025</v>
      </c>
      <c r="L1">
        <v>2030</v>
      </c>
    </row>
    <row r="3" spans="1:16" x14ac:dyDescent="0.25">
      <c r="A3" t="s">
        <v>51</v>
      </c>
      <c r="C3">
        <f>606+201</f>
        <v>807</v>
      </c>
      <c r="D3">
        <f>642+226</f>
        <v>868</v>
      </c>
      <c r="E3">
        <f>653+232</f>
        <v>885</v>
      </c>
      <c r="F3">
        <f>644+240</f>
        <v>884</v>
      </c>
      <c r="G3">
        <f>622+203</f>
        <v>825</v>
      </c>
      <c r="H3">
        <f>588+157</f>
        <v>745</v>
      </c>
      <c r="I3">
        <v>589</v>
      </c>
      <c r="J3">
        <v>570</v>
      </c>
      <c r="K3">
        <v>547</v>
      </c>
      <c r="L3" s="5">
        <f>K3</f>
        <v>547</v>
      </c>
      <c r="N3" s="3"/>
    </row>
    <row r="4" spans="1:16" ht="14.4" x14ac:dyDescent="0.3">
      <c r="A4" s="2" t="s">
        <v>17</v>
      </c>
      <c r="D4" s="3">
        <f t="shared" ref="D4" si="2">D3/C3-1</f>
        <v>7.5588599752168584E-2</v>
      </c>
      <c r="E4" s="3">
        <f t="shared" ref="E4" si="3">E3/D3-1</f>
        <v>1.9585253456221308E-2</v>
      </c>
      <c r="F4" s="3">
        <f t="shared" ref="F4" si="4">F3/E3-1</f>
        <v>-1.1299435028248039E-3</v>
      </c>
      <c r="G4" s="3">
        <f t="shared" ref="G4:I4" si="5">G3/F3-1</f>
        <v>-6.6742081447963786E-2</v>
      </c>
      <c r="H4" s="3">
        <f t="shared" si="5"/>
        <v>-9.6969696969696928E-2</v>
      </c>
      <c r="I4" s="3">
        <f t="shared" si="5"/>
        <v>-0.20939597315436242</v>
      </c>
      <c r="J4" s="3">
        <f>J3/I3-1</f>
        <v>-3.2258064516129004E-2</v>
      </c>
      <c r="K4" s="3">
        <f>K3/J3-1</f>
        <v>-4.0350877192982471E-2</v>
      </c>
    </row>
    <row r="5" spans="1:16" x14ac:dyDescent="0.25">
      <c r="A5" t="s">
        <v>52</v>
      </c>
      <c r="C5">
        <f>17.4+7.4</f>
        <v>24.799999999999997</v>
      </c>
      <c r="D5">
        <f>24.4+9.8</f>
        <v>34.200000000000003</v>
      </c>
      <c r="E5">
        <f>33.7+11.6</f>
        <v>45.300000000000004</v>
      </c>
      <c r="F5">
        <f>49.4+11.7</f>
        <v>61.099999999999994</v>
      </c>
      <c r="G5">
        <f>68.6+10.3</f>
        <v>78.899999999999991</v>
      </c>
      <c r="H5">
        <f>84.2+7.8</f>
        <v>92</v>
      </c>
      <c r="I5">
        <v>125.1</v>
      </c>
      <c r="J5">
        <v>117.6</v>
      </c>
      <c r="K5">
        <v>125.1</v>
      </c>
      <c r="L5" s="6">
        <f>L3*L7</f>
        <v>164.1</v>
      </c>
      <c r="M5" s="3"/>
    </row>
    <row r="6" spans="1:16" ht="14.4" x14ac:dyDescent="0.3">
      <c r="A6" s="2" t="s">
        <v>17</v>
      </c>
      <c r="D6" s="3">
        <f t="shared" ref="D6" si="6">D5/C5-1</f>
        <v>0.37903225806451646</v>
      </c>
      <c r="E6" s="3">
        <f t="shared" ref="E6" si="7">E5/D5-1</f>
        <v>0.32456140350877205</v>
      </c>
      <c r="F6" s="3">
        <f t="shared" ref="F6" si="8">F5/E5-1</f>
        <v>0.34878587196467969</v>
      </c>
      <c r="G6" s="3">
        <f t="shared" ref="G6" si="9">G5/F5-1</f>
        <v>0.29132569558101462</v>
      </c>
      <c r="H6" s="3">
        <f t="shared" ref="H6" si="10">H5/G5-1</f>
        <v>0.1660329531051965</v>
      </c>
      <c r="I6" s="3">
        <f t="shared" ref="I6" si="11">I5/H5-1</f>
        <v>0.35978260869565215</v>
      </c>
      <c r="J6" s="3">
        <f t="shared" ref="J6:K6" si="12">J5/I5-1</f>
        <v>-5.9952038369304517E-2</v>
      </c>
      <c r="K6" s="3">
        <f t="shared" si="12"/>
        <v>6.3775510204081565E-2</v>
      </c>
      <c r="M6" t="s">
        <v>85</v>
      </c>
    </row>
    <row r="7" spans="1:16" x14ac:dyDescent="0.25">
      <c r="A7" t="s">
        <v>55</v>
      </c>
      <c r="C7" s="9">
        <f t="shared" ref="C7:E7" si="13">C5/C3</f>
        <v>3.0731102850061955E-2</v>
      </c>
      <c r="D7" s="9">
        <f t="shared" si="13"/>
        <v>3.9400921658986177E-2</v>
      </c>
      <c r="E7" s="9">
        <f t="shared" si="13"/>
        <v>5.1186440677966107E-2</v>
      </c>
      <c r="F7" s="9">
        <f t="shared" ref="F7:H7" si="14">F5/F3</f>
        <v>6.911764705882352E-2</v>
      </c>
      <c r="G7" s="9">
        <f t="shared" si="14"/>
        <v>9.563636363636363E-2</v>
      </c>
      <c r="H7" s="9">
        <f t="shared" si="14"/>
        <v>0.12348993288590604</v>
      </c>
      <c r="I7" s="9">
        <f t="shared" ref="I7:J7" si="15">I5/I3</f>
        <v>0.21239388794567063</v>
      </c>
      <c r="J7" s="9">
        <f t="shared" si="15"/>
        <v>0.2063157894736842</v>
      </c>
      <c r="K7" s="9">
        <f>K5/K3</f>
        <v>0.22870201096892137</v>
      </c>
      <c r="L7" s="12">
        <v>0.3</v>
      </c>
      <c r="M7" s="10">
        <v>0.38</v>
      </c>
    </row>
    <row r="8" spans="1:16" x14ac:dyDescent="0.25">
      <c r="A8" t="s">
        <v>54</v>
      </c>
      <c r="I8">
        <v>10</v>
      </c>
      <c r="J8">
        <v>10.8</v>
      </c>
      <c r="K8">
        <v>11.8</v>
      </c>
    </row>
    <row r="9" spans="1:16" ht="14.4" x14ac:dyDescent="0.3">
      <c r="A9" s="2" t="s">
        <v>17</v>
      </c>
      <c r="J9" s="3">
        <f t="shared" ref="J9" si="16">J8/I8-1</f>
        <v>8.0000000000000071E-2</v>
      </c>
      <c r="K9" s="3">
        <f t="shared" ref="K9" si="17">K8/J8-1</f>
        <v>9.259259259259256E-2</v>
      </c>
    </row>
    <row r="10" spans="1:16" x14ac:dyDescent="0.25">
      <c r="L10" s="3">
        <f>(L5/K5)^(1/5)-1</f>
        <v>5.5772277924834857E-2</v>
      </c>
      <c r="M10" t="s">
        <v>88</v>
      </c>
    </row>
    <row r="11" spans="1:16" x14ac:dyDescent="0.25">
      <c r="I11">
        <f>(K7/I7)^(1/2)-1</f>
        <v>3.7681285234429263E-2</v>
      </c>
      <c r="J11" s="13"/>
    </row>
    <row r="12" spans="1:16" x14ac:dyDescent="0.25">
      <c r="I12" s="3"/>
      <c r="K12">
        <v>0.22900000000000001</v>
      </c>
      <c r="L12">
        <f>K12*(1+L13)</f>
        <v>0.24274000000000001</v>
      </c>
      <c r="M12">
        <f t="shared" ref="M12:P12" si="18">L12*(1+M13)</f>
        <v>0.25730440000000004</v>
      </c>
      <c r="N12">
        <f t="shared" si="18"/>
        <v>0.27274266400000008</v>
      </c>
      <c r="O12">
        <f t="shared" si="18"/>
        <v>0.28910722384000009</v>
      </c>
      <c r="P12">
        <f t="shared" si="18"/>
        <v>0.30645365727040014</v>
      </c>
    </row>
    <row r="13" spans="1:16" x14ac:dyDescent="0.25">
      <c r="L13" s="3">
        <v>0.06</v>
      </c>
      <c r="M13" s="3">
        <v>0.06</v>
      </c>
      <c r="N13" s="3">
        <v>0.06</v>
      </c>
      <c r="O13" s="3">
        <v>0.06</v>
      </c>
      <c r="P13" s="3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balance</vt:lpstr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Morais</dc:creator>
  <cp:lastModifiedBy>Francisco Morais</cp:lastModifiedBy>
  <dcterms:created xsi:type="dcterms:W3CDTF">2026-07-17T00:18:44Z</dcterms:created>
  <dcterms:modified xsi:type="dcterms:W3CDTF">2026-08-14T17:12:11Z</dcterms:modified>
</cp:coreProperties>
</file>