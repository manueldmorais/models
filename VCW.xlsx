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ocks\"/>
    </mc:Choice>
  </mc:AlternateContent>
  <xr:revisionPtr revIDLastSave="0" documentId="13_ncr:1_{8E29CB8A-C163-495E-911E-8B2C26779AAC}" xr6:coauthVersionLast="47" xr6:coauthVersionMax="47" xr10:uidLastSave="{00000000-0000-0000-0000-000000000000}"/>
  <bookViews>
    <workbookView xWindow="-120" yWindow="-120" windowWidth="29040" windowHeight="15840" xr2:uid="{D30F705F-2673-4493-98A8-D44649666D3D}"/>
  </bookViews>
  <sheets>
    <sheet name="Main" sheetId="2" r:id="rId1"/>
    <sheet name="Model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44" i="1" l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M44" i="1"/>
  <c r="D11" i="1"/>
  <c r="D12" i="1" s="1"/>
  <c r="D32" i="1"/>
  <c r="C32" i="1"/>
  <c r="D29" i="1"/>
  <c r="C29" i="1"/>
  <c r="C11" i="1"/>
  <c r="C12" i="1" s="1"/>
  <c r="E8" i="1"/>
  <c r="D8" i="1"/>
  <c r="E33" i="1"/>
  <c r="E77" i="1"/>
  <c r="F73" i="1"/>
  <c r="F77" i="1" s="1"/>
  <c r="J71" i="1"/>
  <c r="I71" i="1"/>
  <c r="H71" i="1"/>
  <c r="G71" i="1"/>
  <c r="E71" i="1"/>
  <c r="F71" i="1"/>
  <c r="F65" i="1"/>
  <c r="E65" i="1"/>
  <c r="E60" i="1"/>
  <c r="F60" i="1"/>
  <c r="F54" i="1"/>
  <c r="E54" i="1"/>
  <c r="E40" i="1"/>
  <c r="E42" i="1" s="1"/>
  <c r="E43" i="1" s="1"/>
  <c r="F40" i="1"/>
  <c r="F42" i="1" s="1"/>
  <c r="F43" i="1" s="1"/>
  <c r="F32" i="1"/>
  <c r="E32" i="1"/>
  <c r="F29" i="1"/>
  <c r="E29" i="1"/>
  <c r="F11" i="1"/>
  <c r="F12" i="1" s="1"/>
  <c r="E11" i="1"/>
  <c r="E12" i="1" s="1"/>
  <c r="F8" i="1"/>
  <c r="F33" i="1"/>
  <c r="G33" i="1"/>
  <c r="G32" i="1"/>
  <c r="I33" i="1"/>
  <c r="H32" i="1"/>
  <c r="I32" i="1"/>
  <c r="H33" i="1"/>
  <c r="J32" i="1"/>
  <c r="J36" i="1" s="1"/>
  <c r="L9" i="2"/>
  <c r="L8" i="2"/>
  <c r="L7" i="2"/>
  <c r="L14" i="2" s="1"/>
  <c r="I40" i="1"/>
  <c r="I42" i="1" s="1"/>
  <c r="J40" i="1"/>
  <c r="J42" i="1" s="1"/>
  <c r="G40" i="1"/>
  <c r="G42" i="1" s="1"/>
  <c r="H40" i="1"/>
  <c r="H42" i="1" s="1"/>
  <c r="I77" i="1"/>
  <c r="H77" i="1"/>
  <c r="G77" i="1"/>
  <c r="J77" i="1"/>
  <c r="I65" i="1"/>
  <c r="H65" i="1"/>
  <c r="G65" i="1"/>
  <c r="J65" i="1"/>
  <c r="H54" i="1"/>
  <c r="G54" i="1"/>
  <c r="H60" i="1"/>
  <c r="G60" i="1"/>
  <c r="I60" i="1"/>
  <c r="J60" i="1"/>
  <c r="I54" i="1"/>
  <c r="J54" i="1"/>
  <c r="I7" i="1"/>
  <c r="I11" i="1" s="1"/>
  <c r="H7" i="1"/>
  <c r="H11" i="1" s="1"/>
  <c r="G7" i="1"/>
  <c r="G11" i="1" s="1"/>
  <c r="G12" i="1" s="1"/>
  <c r="J7" i="1"/>
  <c r="J11" i="1" s="1"/>
  <c r="J12" i="1" s="1"/>
  <c r="K1" i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Q45" i="1" l="1"/>
  <c r="Q49" i="1" s="1"/>
  <c r="F61" i="1"/>
  <c r="K7" i="1"/>
  <c r="F36" i="1"/>
  <c r="L12" i="2"/>
  <c r="E78" i="1"/>
  <c r="E79" i="1" s="1"/>
  <c r="E19" i="1"/>
  <c r="E25" i="1" s="1"/>
  <c r="E36" i="1"/>
  <c r="F78" i="1"/>
  <c r="E82" i="1"/>
  <c r="F19" i="1"/>
  <c r="F25" i="1" s="1"/>
  <c r="G36" i="1"/>
  <c r="G8" i="1"/>
  <c r="E61" i="1"/>
  <c r="E81" i="1" s="1"/>
  <c r="H36" i="1"/>
  <c r="I36" i="1"/>
  <c r="H43" i="1"/>
  <c r="I43" i="1"/>
  <c r="L13" i="2"/>
  <c r="G43" i="1"/>
  <c r="L10" i="2"/>
  <c r="J29" i="1"/>
  <c r="G29" i="1"/>
  <c r="J43" i="1"/>
  <c r="I78" i="1"/>
  <c r="I82" i="1" s="1"/>
  <c r="H29" i="1"/>
  <c r="I29" i="1"/>
  <c r="G19" i="1"/>
  <c r="G25" i="1" s="1"/>
  <c r="G27" i="1" s="1"/>
  <c r="J78" i="1"/>
  <c r="J82" i="1" s="1"/>
  <c r="H12" i="1"/>
  <c r="H19" i="1" s="1"/>
  <c r="H25" i="1" s="1"/>
  <c r="H27" i="1" s="1"/>
  <c r="I12" i="1"/>
  <c r="I19" i="1" s="1"/>
  <c r="I25" i="1" s="1"/>
  <c r="I27" i="1" s="1"/>
  <c r="J19" i="1"/>
  <c r="J25" i="1" s="1"/>
  <c r="J27" i="1" s="1"/>
  <c r="I61" i="1"/>
  <c r="I81" i="1" s="1"/>
  <c r="J61" i="1"/>
  <c r="J8" i="1"/>
  <c r="H8" i="1"/>
  <c r="I8" i="1"/>
  <c r="G78" i="1"/>
  <c r="G79" i="1" s="1"/>
  <c r="H78" i="1"/>
  <c r="H79" i="1" s="1"/>
  <c r="H61" i="1"/>
  <c r="G61" i="1"/>
  <c r="K32" i="1" l="1"/>
  <c r="K33" i="1" s="1"/>
  <c r="L7" i="1"/>
  <c r="F79" i="1"/>
  <c r="F82" i="1"/>
  <c r="F81" i="1"/>
  <c r="I79" i="1"/>
  <c r="J81" i="1"/>
  <c r="L15" i="2" s="1"/>
  <c r="J79" i="1"/>
  <c r="G82" i="1"/>
  <c r="G81" i="1"/>
  <c r="H82" i="1"/>
  <c r="H81" i="1"/>
  <c r="M7" i="1" l="1"/>
  <c r="L32" i="1"/>
  <c r="N7" i="1" l="1"/>
  <c r="M32" i="1"/>
  <c r="M33" i="1" s="1"/>
  <c r="L33" i="1"/>
  <c r="O7" i="1" l="1"/>
  <c r="N32" i="1"/>
  <c r="N33" i="1" l="1"/>
  <c r="P7" i="1"/>
  <c r="O32" i="1"/>
  <c r="Q7" i="1" l="1"/>
  <c r="P32" i="1"/>
  <c r="P33" i="1" s="1"/>
  <c r="O33" i="1"/>
  <c r="Q47" i="1" l="1"/>
  <c r="Q48" i="1"/>
  <c r="R7" i="1"/>
  <c r="Q32" i="1"/>
  <c r="Q33" i="1" l="1"/>
  <c r="S7" i="1"/>
  <c r="R32" i="1"/>
  <c r="R33" i="1" s="1"/>
  <c r="T7" i="1" l="1"/>
  <c r="S32" i="1"/>
  <c r="S33" i="1" s="1"/>
  <c r="U7" i="1" l="1"/>
  <c r="T32" i="1"/>
  <c r="T33" i="1" s="1"/>
  <c r="V7" i="1" l="1"/>
  <c r="U32" i="1"/>
  <c r="U33" i="1" s="1"/>
  <c r="W7" i="1" l="1"/>
  <c r="V32" i="1"/>
  <c r="V33" i="1" s="1"/>
  <c r="X7" i="1" l="1"/>
  <c r="W32" i="1"/>
  <c r="W33" i="1" s="1"/>
  <c r="Y7" i="1" l="1"/>
  <c r="X32" i="1"/>
  <c r="X33" i="1" s="1"/>
  <c r="Z7" i="1" l="1"/>
  <c r="Y32" i="1"/>
  <c r="Y33" i="1" s="1"/>
  <c r="AA7" i="1" l="1"/>
  <c r="Z32" i="1"/>
  <c r="Z33" i="1" s="1"/>
  <c r="AB7" i="1" l="1"/>
  <c r="AA32" i="1"/>
  <c r="AA33" i="1" s="1"/>
  <c r="AC7" i="1" l="1"/>
  <c r="AB32" i="1"/>
  <c r="AB33" i="1" s="1"/>
  <c r="AD7" i="1" l="1"/>
  <c r="AC32" i="1"/>
  <c r="AC33" i="1" s="1"/>
  <c r="AE7" i="1" l="1"/>
  <c r="AE32" i="1" s="1"/>
  <c r="AD32" i="1"/>
  <c r="AD33" i="1" s="1"/>
  <c r="AF32" i="1" l="1"/>
  <c r="AG32" i="1" s="1"/>
  <c r="AH32" i="1" s="1"/>
  <c r="AI32" i="1" s="1"/>
  <c r="AJ32" i="1" s="1"/>
  <c r="AK32" i="1" s="1"/>
  <c r="AL32" i="1" s="1"/>
  <c r="AM32" i="1" s="1"/>
  <c r="AN32" i="1" s="1"/>
  <c r="AO32" i="1" s="1"/>
  <c r="AP32" i="1" s="1"/>
  <c r="AQ32" i="1" s="1"/>
  <c r="AR32" i="1" s="1"/>
  <c r="AS32" i="1" s="1"/>
  <c r="AT32" i="1" s="1"/>
  <c r="AU32" i="1" s="1"/>
  <c r="AV32" i="1" s="1"/>
  <c r="AW32" i="1" s="1"/>
  <c r="AX32" i="1" s="1"/>
  <c r="AY32" i="1" s="1"/>
  <c r="AZ32" i="1" s="1"/>
  <c r="BA32" i="1" s="1"/>
  <c r="BB32" i="1" s="1"/>
  <c r="BC32" i="1" s="1"/>
  <c r="BD32" i="1" s="1"/>
  <c r="BE32" i="1" s="1"/>
  <c r="BF32" i="1" s="1"/>
  <c r="BG32" i="1" s="1"/>
  <c r="BH32" i="1" s="1"/>
  <c r="BI32" i="1" s="1"/>
  <c r="BJ32" i="1" s="1"/>
  <c r="BK32" i="1" s="1"/>
  <c r="BL32" i="1" s="1"/>
  <c r="BM32" i="1" s="1"/>
  <c r="BN32" i="1" s="1"/>
  <c r="BO32" i="1" s="1"/>
  <c r="BP32" i="1" s="1"/>
  <c r="BQ32" i="1" s="1"/>
  <c r="BR32" i="1" s="1"/>
  <c r="BS32" i="1" s="1"/>
  <c r="BT32" i="1" s="1"/>
  <c r="BU32" i="1" s="1"/>
  <c r="BV32" i="1" s="1"/>
  <c r="BW32" i="1" s="1"/>
  <c r="BX32" i="1" s="1"/>
  <c r="BY32" i="1" s="1"/>
  <c r="BZ32" i="1" s="1"/>
  <c r="CA32" i="1" s="1"/>
  <c r="CB32" i="1" s="1"/>
  <c r="CC32" i="1" s="1"/>
  <c r="CD32" i="1" s="1"/>
  <c r="CE32" i="1" s="1"/>
  <c r="CF32" i="1" s="1"/>
  <c r="CG32" i="1" s="1"/>
  <c r="CH32" i="1" s="1"/>
  <c r="CI32" i="1" s="1"/>
  <c r="CJ32" i="1" s="1"/>
  <c r="CK32" i="1" s="1"/>
  <c r="CL32" i="1" s="1"/>
  <c r="CM32" i="1" s="1"/>
  <c r="CN32" i="1" s="1"/>
  <c r="CO32" i="1" s="1"/>
  <c r="CP32" i="1" s="1"/>
  <c r="CQ32" i="1" s="1"/>
  <c r="M45" i="1" s="1"/>
  <c r="AE33" i="1"/>
  <c r="M49" i="1" l="1"/>
  <c r="M47" i="1"/>
  <c r="M4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tc={48B3A57E-25A5-4E96-8941-0E4BBF63C337}</author>
    <author>tc={5FC0D63C-FD94-467E-97E6-8BE8E22FF089}</author>
  </authors>
  <commentList>
    <comment ref="J14" authorId="0" shapeId="0" xr:uid="{48B3A57E-25A5-4E96-8941-0E4BBF63C33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Mostly income from the port and some sales of PP&amp;E </t>
      </text>
    </comment>
    <comment ref="L44" authorId="1" shapeId="0" xr:uid="{5FC0D63C-FD94-467E-97E6-8BE8E22FF089}">
      <text>
        <t>[Threaded comment]
Your version of Excel allows you to read this threaded comment; however, any edits to it will get removed if the file is opened in a newer version of Excel. Learn more: https://go.microsoft.com/fwlink/?linkid=870924
Comment:
    CY Gov bonds yield + CY ERP (damodaram)</t>
      </text>
    </comment>
  </commentList>
</comments>
</file>

<file path=xl/sharedStrings.xml><?xml version="1.0" encoding="utf-8"?>
<sst xmlns="http://schemas.openxmlformats.org/spreadsheetml/2006/main" count="119" uniqueCount="110">
  <si>
    <t>Cement</t>
  </si>
  <si>
    <t>Electricity</t>
  </si>
  <si>
    <t>Other</t>
  </si>
  <si>
    <t>Revenue</t>
  </si>
  <si>
    <t>COGS</t>
  </si>
  <si>
    <t>Gross</t>
  </si>
  <si>
    <t>Other Income</t>
  </si>
  <si>
    <t>Distribution</t>
  </si>
  <si>
    <t>Admin</t>
  </si>
  <si>
    <t>Fines</t>
  </si>
  <si>
    <t>Other Expenses</t>
  </si>
  <si>
    <t>EBIT</t>
  </si>
  <si>
    <t>Interest Income</t>
  </si>
  <si>
    <t>Interest Expense</t>
  </si>
  <si>
    <t>Investing</t>
  </si>
  <si>
    <t>Joint Venture</t>
  </si>
  <si>
    <t>Profit Before Tax</t>
  </si>
  <si>
    <t>Tax</t>
  </si>
  <si>
    <t>Net Income</t>
  </si>
  <si>
    <t>in thousands</t>
  </si>
  <si>
    <t>VCW</t>
  </si>
  <si>
    <t xml:space="preserve">Price </t>
  </si>
  <si>
    <t>Shares</t>
  </si>
  <si>
    <t>MC</t>
  </si>
  <si>
    <t xml:space="preserve">Cash </t>
  </si>
  <si>
    <t>Debt</t>
  </si>
  <si>
    <t>EV</t>
  </si>
  <si>
    <t>PP&amp;E</t>
  </si>
  <si>
    <t>Intangible</t>
  </si>
  <si>
    <t>Right-of-use</t>
  </si>
  <si>
    <t>Investment in equity</t>
  </si>
  <si>
    <t>Financial Assets</t>
  </si>
  <si>
    <t>Total non-current</t>
  </si>
  <si>
    <t>Inventories</t>
  </si>
  <si>
    <t>Tax Receivable</t>
  </si>
  <si>
    <t>Trade and other receivables</t>
  </si>
  <si>
    <t>Cash</t>
  </si>
  <si>
    <t>Total current</t>
  </si>
  <si>
    <t>Total assets</t>
  </si>
  <si>
    <t>Share Capital</t>
  </si>
  <si>
    <t>Reverses</t>
  </si>
  <si>
    <t>Equity</t>
  </si>
  <si>
    <t>Loans</t>
  </si>
  <si>
    <t>Lease</t>
  </si>
  <si>
    <t>Deffered Taxes</t>
  </si>
  <si>
    <t>Tax payable</t>
  </si>
  <si>
    <t>Trade and other payables</t>
  </si>
  <si>
    <t>Total liabilities</t>
  </si>
  <si>
    <t>Total E/L</t>
  </si>
  <si>
    <t>Investment property</t>
  </si>
  <si>
    <t>Book Value</t>
  </si>
  <si>
    <t>Tangible Book Value</t>
  </si>
  <si>
    <t>D&amp;A</t>
  </si>
  <si>
    <t>ΔWC</t>
  </si>
  <si>
    <t>Capex</t>
  </si>
  <si>
    <t>FCF</t>
  </si>
  <si>
    <t>% growth</t>
  </si>
  <si>
    <t>% gross</t>
  </si>
  <si>
    <t>% net</t>
  </si>
  <si>
    <t>P/B</t>
  </si>
  <si>
    <t>P/S</t>
  </si>
  <si>
    <t>P/E</t>
  </si>
  <si>
    <t>% fcf</t>
  </si>
  <si>
    <t>EPS</t>
  </si>
  <si>
    <t>Dividend</t>
  </si>
  <si>
    <t>Subsidiary:</t>
  </si>
  <si>
    <t>% payout</t>
  </si>
  <si>
    <t>Book</t>
  </si>
  <si>
    <t>Founded</t>
  </si>
  <si>
    <t>Product</t>
  </si>
  <si>
    <t>Waste Managment</t>
  </si>
  <si>
    <t>Monopoly on Cyprus cement production</t>
  </si>
  <si>
    <t>Working on energy independence (via solar)</t>
  </si>
  <si>
    <t xml:space="preserve">Improving efficiency (15% gp to 33% in 4y) </t>
  </si>
  <si>
    <t>Fast growing economy in EU (3%+ p.a)</t>
  </si>
  <si>
    <t>Provisions</t>
  </si>
  <si>
    <t>Discount</t>
  </si>
  <si>
    <t>Maturity</t>
  </si>
  <si>
    <t>NPV</t>
  </si>
  <si>
    <t>Price</t>
  </si>
  <si>
    <t>Upside</t>
  </si>
  <si>
    <t>p.a</t>
  </si>
  <si>
    <t>w/dividends</t>
  </si>
  <si>
    <t>DCF</t>
  </si>
  <si>
    <t>Comparables</t>
  </si>
  <si>
    <t xml:space="preserve">P/E </t>
  </si>
  <si>
    <t>Price 2030</t>
  </si>
  <si>
    <t>Current Price</t>
  </si>
  <si>
    <t>Assumptions</t>
  </si>
  <si>
    <t>P/E remains at 10 in 5 years (10-15 ratio average in EU)</t>
  </si>
  <si>
    <t>Great balance sheet currently, could face major headwinds and survive</t>
  </si>
  <si>
    <t>Stock is difficult to buy on platforms and if the investment is based on DY, how would you get those returns?</t>
  </si>
  <si>
    <t>Operates in a high growth economy, lower taxes than most EU countries</t>
  </si>
  <si>
    <t>Has the infrastucture to expand due to their integrated port (has still a high depency on the domestic market, 88% 2025)</t>
  </si>
  <si>
    <t>Has essentially a monopoly on cement in CY, very diffcult for a new player to get into this market ($100M+ Capex and regulatory issues)</t>
  </si>
  <si>
    <t>Enerco - Energy Recovery Limited (50%)</t>
  </si>
  <si>
    <t>Main:</t>
  </si>
  <si>
    <t>Could suffer due to higher energy cost due to war in Iran</t>
  </si>
  <si>
    <t>Company will grow at very small stable rate (under the 8% of the last 7y)</t>
  </si>
  <si>
    <t>Dividends continue and payout at current rate (has been since 2014)</t>
  </si>
  <si>
    <t>Notes:</t>
  </si>
  <si>
    <t>Not a buying recommendation</t>
  </si>
  <si>
    <t>% yield</t>
  </si>
  <si>
    <t>Dividends inv.</t>
  </si>
  <si>
    <t>Reinvesting the dividends at a 7% yield</t>
  </si>
  <si>
    <t>Sector</t>
  </si>
  <si>
    <t>Constuction Materials</t>
  </si>
  <si>
    <t>Fairly conservative, although without taxation</t>
  </si>
  <si>
    <t>Fairly valued, would be a good dividend stock to park money in</t>
  </si>
  <si>
    <t>Dividend (reinvested at yield)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</si>
</sst>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0.0"/>
    <numFmt numFmtId="165" formatCode="#,##0.000"/>
  </numFmts>
  <fonts count="4" x14ac:knownFonts="1">
    <font>
      <sz val="11"/>
      <color theme="1"/>
      <name val="Arial"/>
      <family val="2"/>
    </font>
    <font>
      <i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3" fontId="0" fillId="0" borderId="0" xfId="0" applyNumberFormat="1"/>
    <xf numFmtId="0" fontId="1" fillId="0" borderId="0" xfId="0" applyFont="1"/>
    <xf numFmtId="9" fontId="0" fillId="0" borderId="0" xfId="0" applyNumberFormat="1"/>
    <xf numFmtId="164" fontId="0" fillId="0" borderId="0" xfId="0" applyNumberFormat="1"/>
    <xf numFmtId="8" fontId="0" fillId="0" borderId="0" xfId="0" applyNumberFormat="1"/>
    <xf numFmtId="165" fontId="0" fillId="0" borderId="0" xfId="0" applyNumberFormat="1"/>
    <xf numFmtId="4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9" fontId="0" fillId="0" borderId="0" xfId="1" applyFont="1"/>
    <xf numFmtId="4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3" fontId="3" fillId="0" borderId="0" xfId="0" applyNumberFormat="1" applyFont="1"/>
    <xf numFmtId="0" fontId="3" fillId="0" borderId="0" xfId="0" applyFont="1"/>
    <xf numFmtId="9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rancisco Morais" id="{5FB1B16D-037D-4269-81FE-C552777B3F6B}" userId="S::geral@fmmorais.pt::0579fd8b-b6e1-4bec-b5cf-92f053ce414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4" dT="2026-05-14T20:51:04.03" personId="{5FB1B16D-037D-4269-81FE-C552777B3F6B}" id="{48B3A57E-25A5-4E96-8941-0E4BBF63C337}">
    <text xml:space="preserve">Mostly income from the port and some sales of PP&amp;E </text>
  </threadedComment>
  <threadedComment ref="L44" dT="2026-05-14T21:25:40.93" personId="{5FB1B16D-037D-4269-81FE-C552777B3F6B}" id="{5FC0D63C-FD94-467E-97E6-8BE8E22FF089}">
    <text>CY Gov bonds yield + CY ERP (damodaram)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48E23-C99B-4E6E-8BEE-4A0199F87E58}">
  <dimension ref="C2:L25"/>
  <sheetViews>
    <sheetView tabSelected="1" zoomScale="145" zoomScaleNormal="145" workbookViewId="0">
      <selection activeCell="C24" sqref="C24"/>
    </sheetView>
  </sheetViews>
  <sheetFormatPr defaultRowHeight="14.25" x14ac:dyDescent="0.2"/>
  <cols>
    <col min="2" max="2" width="10.25" customWidth="1"/>
    <col min="9" max="9" width="18.625" bestFit="1" customWidth="1"/>
    <col min="12" max="12" width="11.625" bestFit="1" customWidth="1"/>
  </cols>
  <sheetData>
    <row r="2" spans="3:12" x14ac:dyDescent="0.2">
      <c r="C2" t="s">
        <v>96</v>
      </c>
      <c r="H2" t="s">
        <v>68</v>
      </c>
      <c r="I2">
        <v>1963</v>
      </c>
    </row>
    <row r="3" spans="3:12" x14ac:dyDescent="0.2">
      <c r="C3" t="s">
        <v>71</v>
      </c>
      <c r="H3" t="s">
        <v>105</v>
      </c>
      <c r="I3" s="9" t="s">
        <v>106</v>
      </c>
      <c r="K3" t="s">
        <v>20</v>
      </c>
    </row>
    <row r="4" spans="3:12" x14ac:dyDescent="0.2">
      <c r="C4" t="s">
        <v>74</v>
      </c>
      <c r="H4" t="s">
        <v>69</v>
      </c>
      <c r="I4" s="9" t="s">
        <v>0</v>
      </c>
    </row>
    <row r="5" spans="3:12" x14ac:dyDescent="0.2">
      <c r="C5" t="s">
        <v>72</v>
      </c>
      <c r="K5" t="s">
        <v>21</v>
      </c>
      <c r="L5">
        <v>5</v>
      </c>
    </row>
    <row r="6" spans="3:12" x14ac:dyDescent="0.2">
      <c r="C6" t="s">
        <v>73</v>
      </c>
      <c r="K6" t="s">
        <v>22</v>
      </c>
      <c r="L6">
        <v>71940</v>
      </c>
    </row>
    <row r="7" spans="3:12" x14ac:dyDescent="0.2">
      <c r="K7" t="s">
        <v>23</v>
      </c>
      <c r="L7" s="1">
        <f>L5*L6</f>
        <v>359700</v>
      </c>
    </row>
    <row r="8" spans="3:12" x14ac:dyDescent="0.2">
      <c r="K8" t="s">
        <v>24</v>
      </c>
      <c r="L8" s="1">
        <f>Model!J59</f>
        <v>42184</v>
      </c>
    </row>
    <row r="9" spans="3:12" x14ac:dyDescent="0.2">
      <c r="K9" t="s">
        <v>25</v>
      </c>
      <c r="L9" s="1">
        <f>Model!J73</f>
        <v>2198</v>
      </c>
    </row>
    <row r="10" spans="3:12" x14ac:dyDescent="0.2">
      <c r="C10" t="s">
        <v>65</v>
      </c>
      <c r="K10" t="s">
        <v>26</v>
      </c>
      <c r="L10" s="1">
        <f>L7-L8+L9</f>
        <v>319714</v>
      </c>
    </row>
    <row r="12" spans="3:12" x14ac:dyDescent="0.2">
      <c r="C12" t="s">
        <v>95</v>
      </c>
      <c r="G12" t="s">
        <v>70</v>
      </c>
      <c r="K12" t="s">
        <v>59</v>
      </c>
      <c r="L12" s="4">
        <f>L7/Model!J65</f>
        <v>1.3117540014514264</v>
      </c>
    </row>
    <row r="13" spans="3:12" x14ac:dyDescent="0.2">
      <c r="K13" t="s">
        <v>60</v>
      </c>
      <c r="L13" s="4">
        <f>L7/Model!J7</f>
        <v>2.3547510719780038</v>
      </c>
    </row>
    <row r="14" spans="3:12" x14ac:dyDescent="0.2">
      <c r="K14" t="s">
        <v>61</v>
      </c>
      <c r="L14" s="4">
        <f>L7/Model!J28</f>
        <v>10.124693894784249</v>
      </c>
    </row>
    <row r="15" spans="3:12" x14ac:dyDescent="0.2">
      <c r="K15" t="s">
        <v>67</v>
      </c>
      <c r="L15" s="4">
        <f>L7/Model!J81</f>
        <v>1.3117540014514264</v>
      </c>
    </row>
    <row r="17" spans="3:3" x14ac:dyDescent="0.2">
      <c r="C17" t="s">
        <v>100</v>
      </c>
    </row>
    <row r="18" spans="3:3" x14ac:dyDescent="0.2">
      <c r="C18" t="s">
        <v>92</v>
      </c>
    </row>
    <row r="19" spans="3:3" x14ac:dyDescent="0.2">
      <c r="C19" t="s">
        <v>94</v>
      </c>
    </row>
    <row r="20" spans="3:3" x14ac:dyDescent="0.2">
      <c r="C20" t="s">
        <v>90</v>
      </c>
    </row>
    <row r="21" spans="3:3" x14ac:dyDescent="0.2">
      <c r="C21" t="s">
        <v>93</v>
      </c>
    </row>
    <row r="22" spans="3:3" x14ac:dyDescent="0.2">
      <c r="C22" t="s">
        <v>97</v>
      </c>
    </row>
    <row r="23" spans="3:3" x14ac:dyDescent="0.2">
      <c r="C23" t="s">
        <v>91</v>
      </c>
    </row>
    <row r="24" spans="3:3" x14ac:dyDescent="0.2">
      <c r="C24" t="s">
        <v>108</v>
      </c>
    </row>
    <row r="25" spans="3:3" ht="15" x14ac:dyDescent="0.25">
      <c r="C25" s="14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09068-5FEB-437D-8B49-F87FA9E19AE3}">
  <dimension ref="A1:CQ255"/>
  <sheetViews>
    <sheetView showGridLines="0" zoomScale="130" zoomScaleNormal="130" workbookViewId="0">
      <pane ySplit="1" topLeftCell="A43" activePane="bottomLeft" state="frozen"/>
      <selection pane="bottomLeft" activeCell="S48" sqref="S48"/>
    </sheetView>
  </sheetViews>
  <sheetFormatPr defaultRowHeight="14.25" x14ac:dyDescent="0.2"/>
  <cols>
    <col min="1" max="1" width="24.5" bestFit="1" customWidth="1"/>
    <col min="6" max="8" width="9.125" bestFit="1" customWidth="1"/>
    <col min="9" max="10" width="9.875" bestFit="1" customWidth="1"/>
    <col min="11" max="11" width="11.875" bestFit="1" customWidth="1"/>
    <col min="16" max="16" width="11.875" bestFit="1" customWidth="1"/>
  </cols>
  <sheetData>
    <row r="1" spans="1:31" x14ac:dyDescent="0.2">
      <c r="A1" t="s">
        <v>19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f>J1+1</f>
        <v>2026</v>
      </c>
      <c r="L1">
        <f t="shared" ref="L1:AE1" si="0">K1+1</f>
        <v>2027</v>
      </c>
      <c r="M1">
        <f t="shared" si="0"/>
        <v>2028</v>
      </c>
      <c r="N1">
        <f t="shared" si="0"/>
        <v>2029</v>
      </c>
      <c r="O1">
        <f t="shared" si="0"/>
        <v>2030</v>
      </c>
      <c r="P1">
        <f t="shared" si="0"/>
        <v>2031</v>
      </c>
      <c r="Q1">
        <f t="shared" si="0"/>
        <v>2032</v>
      </c>
      <c r="R1">
        <f t="shared" si="0"/>
        <v>2033</v>
      </c>
      <c r="S1">
        <f t="shared" si="0"/>
        <v>2034</v>
      </c>
      <c r="T1">
        <f t="shared" si="0"/>
        <v>2035</v>
      </c>
      <c r="U1">
        <f t="shared" si="0"/>
        <v>2036</v>
      </c>
      <c r="V1">
        <f t="shared" si="0"/>
        <v>2037</v>
      </c>
      <c r="W1">
        <f t="shared" si="0"/>
        <v>2038</v>
      </c>
      <c r="X1">
        <f t="shared" si="0"/>
        <v>2039</v>
      </c>
      <c r="Y1">
        <f t="shared" si="0"/>
        <v>2040</v>
      </c>
      <c r="Z1">
        <f t="shared" si="0"/>
        <v>2041</v>
      </c>
      <c r="AA1">
        <f t="shared" si="0"/>
        <v>2042</v>
      </c>
      <c r="AB1">
        <f t="shared" si="0"/>
        <v>2043</v>
      </c>
      <c r="AC1">
        <f t="shared" si="0"/>
        <v>2044</v>
      </c>
      <c r="AD1">
        <f t="shared" si="0"/>
        <v>2045</v>
      </c>
      <c r="AE1">
        <f t="shared" si="0"/>
        <v>2046</v>
      </c>
    </row>
    <row r="3" spans="1:31" x14ac:dyDescent="0.2">
      <c r="A3" t="s">
        <v>0</v>
      </c>
      <c r="C3" s="1"/>
      <c r="D3" s="1"/>
      <c r="F3" s="1"/>
      <c r="G3" s="1">
        <v>140370</v>
      </c>
      <c r="H3" s="1">
        <v>158196</v>
      </c>
      <c r="I3" s="1">
        <v>136038</v>
      </c>
      <c r="J3" s="1">
        <v>151493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x14ac:dyDescent="0.2">
      <c r="A4" t="s">
        <v>1</v>
      </c>
      <c r="C4" s="1"/>
      <c r="D4" s="1"/>
      <c r="F4" s="1"/>
      <c r="G4" s="1">
        <v>2193</v>
      </c>
      <c r="H4" s="1">
        <v>2220</v>
      </c>
      <c r="I4" s="1">
        <v>1613</v>
      </c>
      <c r="J4" s="1">
        <v>1127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x14ac:dyDescent="0.2">
      <c r="A5" t="s">
        <v>2</v>
      </c>
      <c r="C5" s="1"/>
      <c r="D5" s="1"/>
      <c r="F5" s="1"/>
      <c r="G5" s="1">
        <v>98</v>
      </c>
      <c r="H5" s="1">
        <v>116</v>
      </c>
      <c r="I5" s="1">
        <v>132</v>
      </c>
      <c r="J5" s="1">
        <v>135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x14ac:dyDescent="0.2">
      <c r="C6" s="1"/>
      <c r="D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5" x14ac:dyDescent="0.25">
      <c r="A7" t="s">
        <v>3</v>
      </c>
      <c r="C7" s="13">
        <v>97926</v>
      </c>
      <c r="D7" s="13">
        <v>100984</v>
      </c>
      <c r="E7" s="13">
        <v>105661</v>
      </c>
      <c r="F7" s="13">
        <v>101419</v>
      </c>
      <c r="G7" s="13">
        <f>SUM(G3:G5)</f>
        <v>142661</v>
      </c>
      <c r="H7" s="13">
        <f>SUM(H3:H5)</f>
        <v>160532</v>
      </c>
      <c r="I7" s="13">
        <f>SUM(I3:I5)</f>
        <v>137783</v>
      </c>
      <c r="J7" s="13">
        <f>SUM(J3:J5)</f>
        <v>152755</v>
      </c>
      <c r="K7" s="1">
        <f>J7*(1+K8)</f>
        <v>160392.75</v>
      </c>
      <c r="L7" s="1">
        <f t="shared" ref="L7:AE7" si="1">K7*(1+L8)</f>
        <v>168412.38750000001</v>
      </c>
      <c r="M7" s="1">
        <f t="shared" si="1"/>
        <v>176833.00687500002</v>
      </c>
      <c r="N7" s="1">
        <f t="shared" si="1"/>
        <v>185674.65721875004</v>
      </c>
      <c r="O7" s="1">
        <f t="shared" si="1"/>
        <v>194958.39007968755</v>
      </c>
      <c r="P7" s="1">
        <f t="shared" si="1"/>
        <v>204706.30958367194</v>
      </c>
      <c r="Q7" s="1">
        <f t="shared" si="1"/>
        <v>214941.62506285554</v>
      </c>
      <c r="R7" s="1">
        <f t="shared" si="1"/>
        <v>225688.70631599834</v>
      </c>
      <c r="S7" s="1">
        <f t="shared" si="1"/>
        <v>236973.14163179827</v>
      </c>
      <c r="T7" s="1">
        <f t="shared" si="1"/>
        <v>248821.79871338818</v>
      </c>
      <c r="U7" s="1">
        <f t="shared" si="1"/>
        <v>248821.79871338818</v>
      </c>
      <c r="V7" s="1">
        <f t="shared" si="1"/>
        <v>248821.79871338818</v>
      </c>
      <c r="W7" s="1">
        <f t="shared" si="1"/>
        <v>248821.79871338818</v>
      </c>
      <c r="X7" s="1">
        <f t="shared" si="1"/>
        <v>248821.79871338818</v>
      </c>
      <c r="Y7" s="1">
        <f t="shared" si="1"/>
        <v>248821.79871338818</v>
      </c>
      <c r="Z7" s="1">
        <f t="shared" si="1"/>
        <v>248821.79871338818</v>
      </c>
      <c r="AA7" s="1">
        <f t="shared" si="1"/>
        <v>248821.79871338818</v>
      </c>
      <c r="AB7" s="1">
        <f t="shared" si="1"/>
        <v>248821.79871338818</v>
      </c>
      <c r="AC7" s="1">
        <f t="shared" si="1"/>
        <v>248821.79871338818</v>
      </c>
      <c r="AD7" s="1">
        <f t="shared" si="1"/>
        <v>248821.79871338818</v>
      </c>
      <c r="AE7" s="1">
        <f t="shared" si="1"/>
        <v>248821.79871338818</v>
      </c>
    </row>
    <row r="8" spans="1:31" x14ac:dyDescent="0.2">
      <c r="A8" s="2" t="s">
        <v>56</v>
      </c>
      <c r="C8" s="1"/>
      <c r="D8" s="1">
        <f t="shared" ref="D8" si="2">(D7-C7)/C7</f>
        <v>3.1227661703735473E-2</v>
      </c>
      <c r="E8" s="3">
        <f t="shared" ref="E8" si="3">(E7-D7)/D7</f>
        <v>4.6314267606749587E-2</v>
      </c>
      <c r="F8" s="3">
        <f t="shared" ref="F8" si="4">(F7-E7)/E7</f>
        <v>-4.0147263417911999E-2</v>
      </c>
      <c r="G8" s="3">
        <f t="shared" ref="G8" si="5">(G7-F7)/F7</f>
        <v>0.40664964158589612</v>
      </c>
      <c r="H8" s="3">
        <f t="shared" ref="H8:I8" si="6">(H7-G7)/G7</f>
        <v>0.12526899432921401</v>
      </c>
      <c r="I8" s="3">
        <f t="shared" si="6"/>
        <v>-0.14171006403707673</v>
      </c>
      <c r="J8" s="3">
        <f>(J7-I7)/I7</f>
        <v>0.1086636232336355</v>
      </c>
      <c r="K8" s="10">
        <v>0.05</v>
      </c>
      <c r="L8" s="10">
        <v>0.05</v>
      </c>
      <c r="M8" s="10">
        <v>0.05</v>
      </c>
      <c r="N8" s="10">
        <v>0.05</v>
      </c>
      <c r="O8" s="10">
        <v>0.05</v>
      </c>
      <c r="P8" s="10">
        <v>0.05</v>
      </c>
      <c r="Q8" s="10">
        <v>0.05</v>
      </c>
      <c r="R8" s="10">
        <v>0.05</v>
      </c>
      <c r="S8" s="10">
        <v>0.05</v>
      </c>
      <c r="T8" s="10">
        <v>0.05</v>
      </c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1" x14ac:dyDescent="0.2">
      <c r="A9" t="s">
        <v>4</v>
      </c>
      <c r="C9" s="1">
        <v>70944</v>
      </c>
      <c r="D9" s="1">
        <v>70093</v>
      </c>
      <c r="E9">
        <v>77192</v>
      </c>
      <c r="F9" s="1">
        <v>73777</v>
      </c>
      <c r="G9" s="1">
        <v>119381</v>
      </c>
      <c r="H9" s="1">
        <v>119045</v>
      </c>
      <c r="I9" s="1">
        <v>95286</v>
      </c>
      <c r="J9" s="1">
        <v>102450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x14ac:dyDescent="0.2">
      <c r="C10" s="1"/>
      <c r="D10" s="1"/>
      <c r="F10" s="1"/>
      <c r="G10" s="1"/>
      <c r="H10" s="1"/>
      <c r="I10" s="1"/>
      <c r="J10" s="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x14ac:dyDescent="0.2">
      <c r="A11" t="s">
        <v>5</v>
      </c>
      <c r="C11" s="1">
        <f t="shared" ref="C11:I11" si="7">C7-C9</f>
        <v>26982</v>
      </c>
      <c r="D11" s="1">
        <f>D7-D9</f>
        <v>30891</v>
      </c>
      <c r="E11" s="1">
        <f t="shared" si="7"/>
        <v>28469</v>
      </c>
      <c r="F11" s="1">
        <f t="shared" si="7"/>
        <v>27642</v>
      </c>
      <c r="G11" s="1">
        <f t="shared" si="7"/>
        <v>23280</v>
      </c>
      <c r="H11" s="1">
        <f t="shared" si="7"/>
        <v>41487</v>
      </c>
      <c r="I11" s="1">
        <f t="shared" si="7"/>
        <v>42497</v>
      </c>
      <c r="J11" s="1">
        <f>J7-J9</f>
        <v>50305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x14ac:dyDescent="0.2">
      <c r="A12" s="2" t="s">
        <v>57</v>
      </c>
      <c r="C12" s="10">
        <f t="shared" ref="C12:I12" si="8">C11/C7</f>
        <v>0.27553458734146191</v>
      </c>
      <c r="D12" s="10">
        <f t="shared" si="8"/>
        <v>0.3058999445456706</v>
      </c>
      <c r="E12" s="3">
        <f t="shared" si="8"/>
        <v>0.2694371622452939</v>
      </c>
      <c r="F12" s="3">
        <f t="shared" si="8"/>
        <v>0.27255248030447943</v>
      </c>
      <c r="G12" s="3">
        <f t="shared" si="8"/>
        <v>0.16318405170298819</v>
      </c>
      <c r="H12" s="3">
        <f t="shared" si="8"/>
        <v>0.25843445543567639</v>
      </c>
      <c r="I12" s="3">
        <f t="shared" si="8"/>
        <v>0.30843427708788457</v>
      </c>
      <c r="J12" s="3">
        <f>J11/J7</f>
        <v>0.32931818925730744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x14ac:dyDescent="0.2">
      <c r="C13" s="1"/>
      <c r="D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x14ac:dyDescent="0.2">
      <c r="A14" t="s">
        <v>6</v>
      </c>
      <c r="C14" s="1"/>
      <c r="D14" s="1"/>
      <c r="E14">
        <v>1605</v>
      </c>
      <c r="F14" s="1">
        <v>1357</v>
      </c>
      <c r="G14" s="1">
        <v>2535</v>
      </c>
      <c r="H14" s="1">
        <v>2386</v>
      </c>
      <c r="I14" s="1">
        <v>2482</v>
      </c>
      <c r="J14" s="1">
        <v>2692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x14ac:dyDescent="0.2">
      <c r="A15" t="s">
        <v>7</v>
      </c>
      <c r="C15" s="1"/>
      <c r="D15" s="1"/>
      <c r="E15">
        <v>-5413</v>
      </c>
      <c r="F15" s="1">
        <v>-4879</v>
      </c>
      <c r="G15" s="1">
        <v>-5758</v>
      </c>
      <c r="H15" s="1">
        <v>-6296</v>
      </c>
      <c r="I15" s="1">
        <v>-3908</v>
      </c>
      <c r="J15" s="1">
        <v>-3779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x14ac:dyDescent="0.2">
      <c r="A16" t="s">
        <v>8</v>
      </c>
      <c r="C16" s="1"/>
      <c r="D16" s="1"/>
      <c r="E16">
        <v>-3899</v>
      </c>
      <c r="F16" s="1">
        <v>-4169</v>
      </c>
      <c r="G16" s="1">
        <v>-4002</v>
      </c>
      <c r="H16" s="1">
        <v>-4782</v>
      </c>
      <c r="I16" s="1">
        <v>-4959</v>
      </c>
      <c r="J16" s="1">
        <v>-5576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95" x14ac:dyDescent="0.2">
      <c r="A17" t="s">
        <v>9</v>
      </c>
      <c r="C17" s="1"/>
      <c r="D17" s="1"/>
      <c r="F17" s="1"/>
      <c r="G17" s="1"/>
      <c r="H17" s="1"/>
      <c r="I17" s="1">
        <v>-5071</v>
      </c>
      <c r="J17" s="1">
        <v>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95" x14ac:dyDescent="0.2">
      <c r="A18" t="s">
        <v>10</v>
      </c>
      <c r="C18" s="1"/>
      <c r="D18" s="1"/>
      <c r="E18">
        <v>-1915</v>
      </c>
      <c r="F18" s="1">
        <v>-1442</v>
      </c>
      <c r="G18" s="1">
        <v>-1499</v>
      </c>
      <c r="H18" s="1">
        <v>-1526</v>
      </c>
      <c r="I18" s="1">
        <v>-1599</v>
      </c>
      <c r="J18" s="1">
        <v>-1066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95" x14ac:dyDescent="0.2">
      <c r="A19" t="s">
        <v>11</v>
      </c>
      <c r="C19" s="1"/>
      <c r="D19" s="1"/>
      <c r="E19" s="1">
        <f t="shared" ref="E19:I19" si="9">SUM(E11:E18)</f>
        <v>18847.269437162246</v>
      </c>
      <c r="F19" s="1">
        <f t="shared" si="9"/>
        <v>18509.272552480303</v>
      </c>
      <c r="G19" s="1">
        <f t="shared" si="9"/>
        <v>14556.163184051704</v>
      </c>
      <c r="H19" s="1">
        <f t="shared" si="9"/>
        <v>31269.258434455434</v>
      </c>
      <c r="I19" s="1">
        <f t="shared" si="9"/>
        <v>29442.308434277089</v>
      </c>
      <c r="J19" s="1">
        <f>SUM(J11:J18)</f>
        <v>42576.329318189259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95" x14ac:dyDescent="0.2">
      <c r="C20" s="1"/>
      <c r="D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95" x14ac:dyDescent="0.2">
      <c r="A21" t="s">
        <v>12</v>
      </c>
      <c r="C21" s="1"/>
      <c r="D21" s="1"/>
      <c r="E21">
        <v>9</v>
      </c>
      <c r="F21" s="1">
        <v>112</v>
      </c>
      <c r="G21" s="1">
        <v>311</v>
      </c>
      <c r="H21" s="1">
        <v>330</v>
      </c>
      <c r="I21" s="1">
        <v>401</v>
      </c>
      <c r="J21" s="1">
        <v>275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95" x14ac:dyDescent="0.2">
      <c r="A22" t="s">
        <v>13</v>
      </c>
      <c r="C22" s="1"/>
      <c r="D22" s="1"/>
      <c r="E22">
        <v>-115</v>
      </c>
      <c r="F22" s="1">
        <v>-286</v>
      </c>
      <c r="G22" s="1">
        <v>-531</v>
      </c>
      <c r="H22" s="1">
        <v>-435</v>
      </c>
      <c r="I22" s="1">
        <v>-509</v>
      </c>
      <c r="J22" s="1">
        <v>-218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95" x14ac:dyDescent="0.2">
      <c r="A23" t="s">
        <v>14</v>
      </c>
      <c r="C23" s="1"/>
      <c r="D23" s="1"/>
      <c r="F23" s="1">
        <v>-45</v>
      </c>
      <c r="G23" s="1">
        <v>83</v>
      </c>
      <c r="H23" s="1">
        <v>-29</v>
      </c>
      <c r="I23" s="1">
        <v>96</v>
      </c>
      <c r="J23" s="1">
        <v>21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95" x14ac:dyDescent="0.2">
      <c r="A24" t="s">
        <v>15</v>
      </c>
      <c r="C24" s="1"/>
      <c r="D24" s="1"/>
      <c r="E24">
        <v>647</v>
      </c>
      <c r="F24" s="1">
        <v>727</v>
      </c>
      <c r="G24" s="1">
        <v>603</v>
      </c>
      <c r="H24" s="1">
        <v>854</v>
      </c>
      <c r="I24" s="1">
        <v>985</v>
      </c>
      <c r="J24" s="1">
        <v>1349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95" x14ac:dyDescent="0.2">
      <c r="A25" t="s">
        <v>16</v>
      </c>
      <c r="C25" s="1"/>
      <c r="D25" s="1"/>
      <c r="E25" s="1">
        <f t="shared" ref="E25:H25" si="10">E19+SUM(E21:E24)</f>
        <v>19388.269437162246</v>
      </c>
      <c r="F25" s="1">
        <f t="shared" si="10"/>
        <v>19017.272552480303</v>
      </c>
      <c r="G25" s="1">
        <f t="shared" si="10"/>
        <v>15022.163184051704</v>
      </c>
      <c r="H25" s="1">
        <f t="shared" si="10"/>
        <v>31989.258434455434</v>
      </c>
      <c r="I25" s="1">
        <f>I19+SUM(I21:I24)</f>
        <v>30415.308434277089</v>
      </c>
      <c r="J25" s="1">
        <f>J19+SUM(J21:J24)</f>
        <v>44003.329318189259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95" x14ac:dyDescent="0.2">
      <c r="C26" s="1"/>
      <c r="D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95" x14ac:dyDescent="0.2">
      <c r="A27" t="s">
        <v>17</v>
      </c>
      <c r="C27" s="1"/>
      <c r="D27" s="1"/>
      <c r="F27" s="1"/>
      <c r="G27" s="1">
        <f>G28-G25</f>
        <v>-2304.1631840517039</v>
      </c>
      <c r="H27" s="1">
        <f>H28-H25</f>
        <v>-4149.2584344554343</v>
      </c>
      <c r="I27" s="1">
        <f>I28-I25</f>
        <v>-4534.308434277089</v>
      </c>
      <c r="J27" s="1">
        <f>J28-J25</f>
        <v>-8476.3293181892586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95" x14ac:dyDescent="0.2">
      <c r="A28" t="s">
        <v>18</v>
      </c>
      <c r="C28" s="1">
        <v>15736</v>
      </c>
      <c r="D28" s="1">
        <v>20349</v>
      </c>
      <c r="E28">
        <v>16681</v>
      </c>
      <c r="F28" s="1">
        <v>17441</v>
      </c>
      <c r="G28" s="1">
        <v>12718</v>
      </c>
      <c r="H28" s="1">
        <v>27840</v>
      </c>
      <c r="I28" s="1">
        <v>25881</v>
      </c>
      <c r="J28" s="1">
        <v>35527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95" x14ac:dyDescent="0.2">
      <c r="A29" s="2" t="s">
        <v>58</v>
      </c>
      <c r="C29" s="1">
        <f t="shared" ref="C29" si="11">C28/C7</f>
        <v>0.16069276800849622</v>
      </c>
      <c r="D29" s="1">
        <f t="shared" ref="D29" si="12">D28/D7</f>
        <v>0.20150716945258654</v>
      </c>
      <c r="E29" s="3">
        <f t="shared" ref="E29:F29" si="13">E28/E7</f>
        <v>0.15787281967802691</v>
      </c>
      <c r="F29" s="3">
        <f t="shared" si="13"/>
        <v>0.17196974925802858</v>
      </c>
      <c r="G29" s="3">
        <f>G28/G7</f>
        <v>8.9148400754235566E-2</v>
      </c>
      <c r="H29" s="3">
        <f>H28/H7</f>
        <v>0.17342336730371516</v>
      </c>
      <c r="I29" s="3">
        <f>I28/I7</f>
        <v>0.18783884804366285</v>
      </c>
      <c r="J29" s="3">
        <f>J28/J7</f>
        <v>0.23257503846027952</v>
      </c>
      <c r="K29" s="10">
        <v>0.2</v>
      </c>
      <c r="L29" s="10">
        <v>0.2</v>
      </c>
      <c r="M29" s="10">
        <v>0.2</v>
      </c>
      <c r="N29" s="10">
        <v>0.2</v>
      </c>
      <c r="O29" s="10">
        <v>0.2</v>
      </c>
      <c r="P29" s="10">
        <v>0.2</v>
      </c>
      <c r="Q29" s="10">
        <v>0.2</v>
      </c>
      <c r="R29" s="10">
        <v>0.2</v>
      </c>
      <c r="S29" s="10">
        <v>0.2</v>
      </c>
      <c r="T29" s="10">
        <v>0.2</v>
      </c>
      <c r="U29" s="10">
        <v>0.2</v>
      </c>
      <c r="V29" s="10">
        <v>0.2</v>
      </c>
      <c r="W29" s="10">
        <v>0.2</v>
      </c>
      <c r="X29" s="10">
        <v>0.2</v>
      </c>
      <c r="Y29" s="10">
        <v>0.2</v>
      </c>
      <c r="Z29" s="10">
        <v>0.2</v>
      </c>
      <c r="AA29" s="10">
        <v>0.2</v>
      </c>
      <c r="AB29" s="10">
        <v>0.2</v>
      </c>
      <c r="AC29" s="10">
        <v>0.2</v>
      </c>
      <c r="AD29" s="10">
        <v>0.2</v>
      </c>
      <c r="AE29" s="10">
        <v>0.2</v>
      </c>
    </row>
    <row r="30" spans="1:95" x14ac:dyDescent="0.2">
      <c r="A30" s="2"/>
      <c r="C30" s="1"/>
      <c r="D30" s="1"/>
      <c r="F30" s="1"/>
      <c r="G30" s="3"/>
      <c r="H30" s="3"/>
      <c r="I30" s="3"/>
      <c r="J30" s="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95" x14ac:dyDescent="0.2">
      <c r="A31" t="s">
        <v>22</v>
      </c>
      <c r="C31" s="1">
        <v>71940</v>
      </c>
      <c r="D31" s="1">
        <v>71940</v>
      </c>
      <c r="E31" s="1">
        <v>71940</v>
      </c>
      <c r="F31" s="1">
        <v>71940</v>
      </c>
      <c r="G31" s="1">
        <v>71940</v>
      </c>
      <c r="H31" s="1">
        <v>71940</v>
      </c>
      <c r="I31" s="1">
        <v>71940</v>
      </c>
      <c r="J31" s="1">
        <v>71940</v>
      </c>
      <c r="K31" s="1">
        <v>71940</v>
      </c>
      <c r="L31" s="1">
        <v>71940</v>
      </c>
      <c r="M31" s="1">
        <v>71940</v>
      </c>
      <c r="N31" s="1">
        <v>71940</v>
      </c>
      <c r="O31" s="1">
        <v>71940</v>
      </c>
      <c r="P31" s="1">
        <v>71940</v>
      </c>
      <c r="Q31" s="1">
        <v>71940</v>
      </c>
      <c r="R31" s="1">
        <v>71940</v>
      </c>
      <c r="S31" s="1">
        <v>71940</v>
      </c>
      <c r="T31" s="1">
        <v>71940</v>
      </c>
      <c r="U31" s="1">
        <v>71940</v>
      </c>
      <c r="V31" s="1">
        <v>71940</v>
      </c>
      <c r="W31" s="1">
        <v>71940</v>
      </c>
      <c r="X31" s="1">
        <v>71940</v>
      </c>
      <c r="Y31" s="1">
        <v>71940</v>
      </c>
      <c r="Z31" s="1">
        <v>71940</v>
      </c>
      <c r="AA31" s="1">
        <v>71940</v>
      </c>
      <c r="AB31" s="1">
        <v>71940</v>
      </c>
      <c r="AC31" s="1">
        <v>71940</v>
      </c>
      <c r="AD31" s="1">
        <v>71940</v>
      </c>
      <c r="AE31" s="1">
        <v>71940</v>
      </c>
    </row>
    <row r="32" spans="1:95" x14ac:dyDescent="0.2">
      <c r="A32" t="s">
        <v>63</v>
      </c>
      <c r="C32" s="7">
        <f t="shared" ref="C32" si="14">C28/C31</f>
        <v>0.21873783708646094</v>
      </c>
      <c r="D32" s="7">
        <f t="shared" ref="D32" si="15">D28/D31</f>
        <v>0.282860717264387</v>
      </c>
      <c r="E32" s="7">
        <f t="shared" ref="E32" si="16">E28/E31</f>
        <v>0.23187378370864609</v>
      </c>
      <c r="F32" s="7">
        <f t="shared" ref="F32" si="17">F28/F31</f>
        <v>0.2424381428968585</v>
      </c>
      <c r="G32" s="7">
        <f t="shared" ref="G32:I32" si="18">G28/G31</f>
        <v>0.17678621073116485</v>
      </c>
      <c r="H32" s="7">
        <f t="shared" si="18"/>
        <v>0.38698915763135949</v>
      </c>
      <c r="I32" s="7">
        <f t="shared" si="18"/>
        <v>0.35975813177648042</v>
      </c>
      <c r="J32" s="7">
        <f>J28/J31</f>
        <v>0.49384209063108148</v>
      </c>
      <c r="K32" s="7">
        <f>(K7*K29)/K31</f>
        <v>0.44590700583819853</v>
      </c>
      <c r="L32" s="7">
        <f t="shared" ref="L32:AE32" si="19">(L7*L29)/L31</f>
        <v>0.46820235613010841</v>
      </c>
      <c r="M32" s="7">
        <f t="shared" si="19"/>
        <v>0.49161247393661395</v>
      </c>
      <c r="N32" s="7">
        <f t="shared" si="19"/>
        <v>0.51619309763344468</v>
      </c>
      <c r="O32" s="7">
        <f t="shared" si="19"/>
        <v>0.54200275251511698</v>
      </c>
      <c r="P32" s="7">
        <f t="shared" si="19"/>
        <v>0.5691028901408729</v>
      </c>
      <c r="Q32" s="7">
        <f t="shared" si="19"/>
        <v>0.59755803464791646</v>
      </c>
      <c r="R32" s="7">
        <f t="shared" si="19"/>
        <v>0.62743593638031236</v>
      </c>
      <c r="S32" s="7">
        <f t="shared" si="19"/>
        <v>0.65880773319932795</v>
      </c>
      <c r="T32" s="7">
        <f t="shared" si="19"/>
        <v>0.69174811985929441</v>
      </c>
      <c r="U32" s="7">
        <f t="shared" si="19"/>
        <v>0.69174811985929441</v>
      </c>
      <c r="V32" s="7">
        <f t="shared" si="19"/>
        <v>0.69174811985929441</v>
      </c>
      <c r="W32" s="7">
        <f t="shared" si="19"/>
        <v>0.69174811985929441</v>
      </c>
      <c r="X32" s="7">
        <f t="shared" si="19"/>
        <v>0.69174811985929441</v>
      </c>
      <c r="Y32" s="7">
        <f t="shared" si="19"/>
        <v>0.69174811985929441</v>
      </c>
      <c r="Z32" s="7">
        <f t="shared" si="19"/>
        <v>0.69174811985929441</v>
      </c>
      <c r="AA32" s="7">
        <f t="shared" si="19"/>
        <v>0.69174811985929441</v>
      </c>
      <c r="AB32" s="7">
        <f t="shared" si="19"/>
        <v>0.69174811985929441</v>
      </c>
      <c r="AC32" s="7">
        <f t="shared" si="19"/>
        <v>0.69174811985929441</v>
      </c>
      <c r="AD32" s="7">
        <f t="shared" si="19"/>
        <v>0.69174811985929441</v>
      </c>
      <c r="AE32" s="7">
        <f t="shared" si="19"/>
        <v>0.69174811985929441</v>
      </c>
      <c r="AF32" s="7">
        <f>AE32*(1+$M$43)</f>
        <v>0.68483063866070149</v>
      </c>
      <c r="AG32" s="7">
        <f t="shared" ref="AG32:CQ32" si="20">AF32*(1+$M$43)</f>
        <v>0.67798233227409443</v>
      </c>
      <c r="AH32" s="7">
        <f t="shared" si="20"/>
        <v>0.67120250895135347</v>
      </c>
      <c r="AI32" s="7">
        <f t="shared" si="20"/>
        <v>0.66449048386183995</v>
      </c>
      <c r="AJ32" s="7">
        <f t="shared" si="20"/>
        <v>0.65784557902322149</v>
      </c>
      <c r="AK32" s="7">
        <f t="shared" si="20"/>
        <v>0.6512671232329893</v>
      </c>
      <c r="AL32" s="7">
        <f t="shared" si="20"/>
        <v>0.64475445200065939</v>
      </c>
      <c r="AM32" s="7">
        <f t="shared" si="20"/>
        <v>0.63830690748065277</v>
      </c>
      <c r="AN32" s="7">
        <f t="shared" si="20"/>
        <v>0.63192383840584621</v>
      </c>
      <c r="AO32" s="7">
        <f t="shared" si="20"/>
        <v>0.62560460002178775</v>
      </c>
      <c r="AP32" s="7">
        <f t="shared" si="20"/>
        <v>0.61934855402156985</v>
      </c>
      <c r="AQ32" s="7">
        <f t="shared" si="20"/>
        <v>0.61315506848135415</v>
      </c>
      <c r="AR32" s="7">
        <f t="shared" si="20"/>
        <v>0.60702351779654062</v>
      </c>
      <c r="AS32" s="7">
        <f t="shared" si="20"/>
        <v>0.60095328261857517</v>
      </c>
      <c r="AT32" s="7">
        <f t="shared" si="20"/>
        <v>0.5949437497923894</v>
      </c>
      <c r="AU32" s="7">
        <f t="shared" si="20"/>
        <v>0.58899431229446553</v>
      </c>
      <c r="AV32" s="7">
        <f t="shared" si="20"/>
        <v>0.58310436917152086</v>
      </c>
      <c r="AW32" s="7">
        <f t="shared" si="20"/>
        <v>0.5772733254798057</v>
      </c>
      <c r="AX32" s="7">
        <f t="shared" si="20"/>
        <v>0.5715005922250076</v>
      </c>
      <c r="AY32" s="7">
        <f t="shared" si="20"/>
        <v>0.56578558630275755</v>
      </c>
      <c r="AZ32" s="7">
        <f t="shared" si="20"/>
        <v>0.56012773043972997</v>
      </c>
      <c r="BA32" s="7">
        <f t="shared" si="20"/>
        <v>0.55452645313533266</v>
      </c>
      <c r="BB32" s="7">
        <f t="shared" si="20"/>
        <v>0.54898118860397938</v>
      </c>
      <c r="BC32" s="7">
        <f t="shared" si="20"/>
        <v>0.54349137671793957</v>
      </c>
      <c r="BD32" s="7">
        <f t="shared" si="20"/>
        <v>0.53805646295076015</v>
      </c>
      <c r="BE32" s="7">
        <f t="shared" si="20"/>
        <v>0.53267589832125251</v>
      </c>
      <c r="BF32" s="7">
        <f t="shared" si="20"/>
        <v>0.52734913933803995</v>
      </c>
      <c r="BG32" s="7">
        <f t="shared" si="20"/>
        <v>0.52207564794465955</v>
      </c>
      <c r="BH32" s="7">
        <f t="shared" si="20"/>
        <v>0.51685489146521291</v>
      </c>
      <c r="BI32" s="7">
        <f t="shared" si="20"/>
        <v>0.51168634255056078</v>
      </c>
      <c r="BJ32" s="7">
        <f t="shared" si="20"/>
        <v>0.50656947912505512</v>
      </c>
      <c r="BK32" s="7">
        <f t="shared" si="20"/>
        <v>0.5015037843338046</v>
      </c>
      <c r="BL32" s="7">
        <f t="shared" si="20"/>
        <v>0.49648874649046654</v>
      </c>
      <c r="BM32" s="7">
        <f t="shared" si="20"/>
        <v>0.49152385902556189</v>
      </c>
      <c r="BN32" s="7">
        <f t="shared" si="20"/>
        <v>0.48660862043530628</v>
      </c>
      <c r="BO32" s="7">
        <f t="shared" si="20"/>
        <v>0.4817425342309532</v>
      </c>
      <c r="BP32" s="7">
        <f t="shared" si="20"/>
        <v>0.47692510888864365</v>
      </c>
      <c r="BQ32" s="7">
        <f t="shared" si="20"/>
        <v>0.47215585779975722</v>
      </c>
      <c r="BR32" s="7">
        <f t="shared" si="20"/>
        <v>0.46743429922175966</v>
      </c>
      <c r="BS32" s="7">
        <f t="shared" si="20"/>
        <v>0.46275995622954208</v>
      </c>
      <c r="BT32" s="7">
        <f t="shared" si="20"/>
        <v>0.45813235666724667</v>
      </c>
      <c r="BU32" s="7">
        <f t="shared" si="20"/>
        <v>0.45355103310057421</v>
      </c>
      <c r="BV32" s="7">
        <f t="shared" si="20"/>
        <v>0.44901552276956846</v>
      </c>
      <c r="BW32" s="7">
        <f t="shared" si="20"/>
        <v>0.44452536754187277</v>
      </c>
      <c r="BX32" s="7">
        <f t="shared" si="20"/>
        <v>0.44008011386645401</v>
      </c>
      <c r="BY32" s="7">
        <f t="shared" si="20"/>
        <v>0.43567931272778948</v>
      </c>
      <c r="BZ32" s="7">
        <f t="shared" si="20"/>
        <v>0.4313225196005116</v>
      </c>
      <c r="CA32" s="7">
        <f t="shared" si="20"/>
        <v>0.42700929440450647</v>
      </c>
      <c r="CB32" s="7">
        <f t="shared" si="20"/>
        <v>0.4227392014604614</v>
      </c>
      <c r="CC32" s="7">
        <f t="shared" si="20"/>
        <v>0.41851180944585681</v>
      </c>
      <c r="CD32" s="7">
        <f t="shared" si="20"/>
        <v>0.41432669135139821</v>
      </c>
      <c r="CE32" s="7">
        <f t="shared" si="20"/>
        <v>0.41018342443788425</v>
      </c>
      <c r="CF32" s="7">
        <f t="shared" si="20"/>
        <v>0.40608159019350543</v>
      </c>
      <c r="CG32" s="7">
        <f t="shared" si="20"/>
        <v>0.40202077429157035</v>
      </c>
      <c r="CH32" s="7">
        <f t="shared" si="20"/>
        <v>0.39800056654865462</v>
      </c>
      <c r="CI32" s="7">
        <f t="shared" si="20"/>
        <v>0.39402056088316806</v>
      </c>
      <c r="CJ32" s="7">
        <f t="shared" si="20"/>
        <v>0.39008035527433638</v>
      </c>
      <c r="CK32" s="7">
        <f t="shared" si="20"/>
        <v>0.38617955172159302</v>
      </c>
      <c r="CL32" s="7">
        <f t="shared" si="20"/>
        <v>0.38231775620437708</v>
      </c>
      <c r="CM32" s="7">
        <f t="shared" si="20"/>
        <v>0.37849457864233332</v>
      </c>
      <c r="CN32" s="7">
        <f t="shared" si="20"/>
        <v>0.37470963285590997</v>
      </c>
      <c r="CO32" s="7">
        <f t="shared" si="20"/>
        <v>0.37096253652735084</v>
      </c>
      <c r="CP32" s="7">
        <f t="shared" si="20"/>
        <v>0.36725291116207731</v>
      </c>
      <c r="CQ32" s="7">
        <f t="shared" si="20"/>
        <v>0.36358038205045651</v>
      </c>
    </row>
    <row r="33" spans="1:31" x14ac:dyDescent="0.2">
      <c r="A33" t="s">
        <v>64</v>
      </c>
      <c r="C33" s="1"/>
      <c r="D33" s="1"/>
      <c r="E33">
        <f>0.08+0.06</f>
        <v>0.14000000000000001</v>
      </c>
      <c r="F33" s="7">
        <f>0.08+0.13</f>
        <v>0.21000000000000002</v>
      </c>
      <c r="G33" s="7">
        <f>0.13+0.06</f>
        <v>0.19</v>
      </c>
      <c r="H33" s="7">
        <f>0.13+0.08</f>
        <v>0.21000000000000002</v>
      </c>
      <c r="I33" s="7">
        <f>0.17+0.12</f>
        <v>0.29000000000000004</v>
      </c>
      <c r="J33" s="7">
        <v>0.38</v>
      </c>
      <c r="K33" s="7">
        <f>K32*K36</f>
        <v>0.35672560467055886</v>
      </c>
      <c r="L33" s="7">
        <f t="shared" ref="L33:AE33" si="21">L32*L36</f>
        <v>0.37456188490408676</v>
      </c>
      <c r="M33" s="7">
        <f t="shared" si="21"/>
        <v>0.3932899791492912</v>
      </c>
      <c r="N33" s="7">
        <f t="shared" si="21"/>
        <v>0.41295447810675578</v>
      </c>
      <c r="O33" s="7">
        <f t="shared" si="21"/>
        <v>0.4336022020120936</v>
      </c>
      <c r="P33" s="7">
        <f t="shared" si="21"/>
        <v>0.45528231211269832</v>
      </c>
      <c r="Q33" s="7">
        <f t="shared" si="21"/>
        <v>0.47804642771833317</v>
      </c>
      <c r="R33" s="7">
        <f t="shared" si="21"/>
        <v>0.50194874910424991</v>
      </c>
      <c r="S33" s="7">
        <f t="shared" si="21"/>
        <v>0.52704618655946234</v>
      </c>
      <c r="T33" s="7">
        <f t="shared" si="21"/>
        <v>0.5533984958874355</v>
      </c>
      <c r="U33" s="7">
        <f t="shared" si="21"/>
        <v>0.5533984958874355</v>
      </c>
      <c r="V33" s="7">
        <f t="shared" si="21"/>
        <v>0.5533984958874355</v>
      </c>
      <c r="W33" s="7">
        <f t="shared" si="21"/>
        <v>0.5533984958874355</v>
      </c>
      <c r="X33" s="7">
        <f t="shared" si="21"/>
        <v>0.5533984958874355</v>
      </c>
      <c r="Y33" s="7">
        <f t="shared" si="21"/>
        <v>0.5533984958874355</v>
      </c>
      <c r="Z33" s="7">
        <f t="shared" si="21"/>
        <v>0.5533984958874355</v>
      </c>
      <c r="AA33" s="7">
        <f t="shared" si="21"/>
        <v>0.5533984958874355</v>
      </c>
      <c r="AB33" s="7">
        <f t="shared" si="21"/>
        <v>0.5533984958874355</v>
      </c>
      <c r="AC33" s="7">
        <f t="shared" si="21"/>
        <v>0.5533984958874355</v>
      </c>
      <c r="AD33" s="7">
        <f t="shared" si="21"/>
        <v>0.5533984958874355</v>
      </c>
      <c r="AE33" s="7">
        <f t="shared" si="21"/>
        <v>0.5533984958874355</v>
      </c>
    </row>
    <row r="34" spans="1:31" x14ac:dyDescent="0.2">
      <c r="A34" t="s">
        <v>109</v>
      </c>
      <c r="C34" s="1"/>
      <c r="D34" s="1"/>
      <c r="F34" s="7"/>
      <c r="G34" s="7"/>
      <c r="H34" s="7"/>
      <c r="I34" s="7"/>
      <c r="J34" s="7"/>
      <c r="K34" s="7">
        <f>K33*(1+K35)*(1+L35)*(1+M35)*(1+N35)*(1+O35)</f>
        <v>0.5003261142156965</v>
      </c>
      <c r="L34" s="7">
        <f t="shared" ref="L34:O34" si="22">L33*(1+L35)*(1+M35)*(1+N35)*(1+O35)*(1+P35)</f>
        <v>0.49097422423035625</v>
      </c>
      <c r="M34" s="7">
        <f t="shared" si="22"/>
        <v>0.48179713592698525</v>
      </c>
      <c r="N34" s="7">
        <f t="shared" si="22"/>
        <v>0.47279158198442472</v>
      </c>
      <c r="O34" s="7">
        <f t="shared" si="22"/>
        <v>0.46395435615294017</v>
      </c>
      <c r="P34" s="7">
        <f t="shared" ref="P34" si="23">P33*(1+P35)*(1+Q35)*(1+R35)*(1+S35)*(1+T35)</f>
        <v>0.45528231211269832</v>
      </c>
      <c r="Q34" s="7">
        <f t="shared" ref="Q34" si="24">Q33*(1+Q35)*(1+R35)*(1+S35)*(1+T35)*(1+U35)</f>
        <v>0.47804642771833317</v>
      </c>
      <c r="R34" s="7">
        <f t="shared" ref="R34" si="25">R33*(1+R35)*(1+S35)*(1+T35)*(1+U35)*(1+V35)</f>
        <v>0.50194874910424991</v>
      </c>
      <c r="S34" s="7">
        <f t="shared" ref="S34" si="26">S33*(1+S35)*(1+T35)*(1+U35)*(1+V35)*(1+W35)</f>
        <v>0.52704618655946234</v>
      </c>
      <c r="T34" s="7">
        <f t="shared" ref="T34" si="27">T33*(1+T35)*(1+U35)*(1+V35)*(1+W35)*(1+X35)</f>
        <v>0.5533984958874355</v>
      </c>
      <c r="U34" s="7">
        <f t="shared" ref="U34" si="28">U33*(1+U35)*(1+V35)*(1+W35)*(1+X35)*(1+Y35)</f>
        <v>0.5533984958874355</v>
      </c>
      <c r="V34" s="7">
        <f t="shared" ref="V34" si="29">V33*(1+V35)*(1+W35)*(1+X35)*(1+Y35)*(1+Z35)</f>
        <v>0.5533984958874355</v>
      </c>
      <c r="W34" s="7">
        <f t="shared" ref="W34" si="30">W33*(1+W35)*(1+X35)*(1+Y35)*(1+Z35)*(1+AA35)</f>
        <v>0.5533984958874355</v>
      </c>
      <c r="X34" s="7">
        <f t="shared" ref="X34" si="31">X33*(1+X35)*(1+Y35)*(1+Z35)*(1+AA35)*(1+AB35)</f>
        <v>0.5533984958874355</v>
      </c>
      <c r="Y34" s="7">
        <f t="shared" ref="Y34" si="32">Y33*(1+Y35)*(1+Z35)*(1+AA35)*(1+AB35)*(1+AC35)</f>
        <v>0.5533984958874355</v>
      </c>
      <c r="Z34" s="7">
        <f t="shared" ref="Z34" si="33">Z33*(1+Z35)*(1+AA35)*(1+AB35)*(1+AC35)*(1+AD35)</f>
        <v>0.5533984958874355</v>
      </c>
      <c r="AA34" s="7">
        <f t="shared" ref="AA34" si="34">AA33*(1+AA35)*(1+AB35)*(1+AC35)*(1+AD35)*(1+AE35)</f>
        <v>0.5533984958874355</v>
      </c>
      <c r="AB34" s="7">
        <f t="shared" ref="AB34" si="35">AB33*(1+AB35)*(1+AC35)*(1+AD35)*(1+AE35)*(1+AF35)</f>
        <v>0.5533984958874355</v>
      </c>
      <c r="AC34" s="7">
        <f t="shared" ref="AC34" si="36">AC33*(1+AC35)*(1+AD35)*(1+AE35)*(1+AF35)*(1+AG35)</f>
        <v>0.5533984958874355</v>
      </c>
      <c r="AD34" s="7">
        <f t="shared" ref="AD34" si="37">AD33*(1+AD35)*(1+AE35)*(1+AF35)*(1+AG35)*(1+AH35)</f>
        <v>0.5533984958874355</v>
      </c>
      <c r="AE34" s="7">
        <f t="shared" ref="AE34" si="38">AE33*(1+AE35)*(1+AF35)*(1+AG35)*(1+AH35)*(1+AI35)</f>
        <v>0.5533984958874355</v>
      </c>
    </row>
    <row r="35" spans="1:31" x14ac:dyDescent="0.2">
      <c r="A35" s="2" t="s">
        <v>102</v>
      </c>
      <c r="C35" s="1"/>
      <c r="D35" s="1"/>
      <c r="F35" s="7"/>
      <c r="G35" s="7"/>
      <c r="H35" s="7"/>
      <c r="I35" s="7"/>
      <c r="J35" s="7"/>
      <c r="K35" s="10">
        <v>7.0000000000000007E-2</v>
      </c>
      <c r="L35" s="10">
        <v>7.0000000000000007E-2</v>
      </c>
      <c r="M35" s="10">
        <v>7.0000000000000007E-2</v>
      </c>
      <c r="N35" s="10">
        <v>7.0000000000000007E-2</v>
      </c>
      <c r="O35" s="10">
        <v>7.0000000000000007E-2</v>
      </c>
      <c r="P35" s="10"/>
      <c r="Q35" s="10"/>
      <c r="R35" s="10"/>
      <c r="S35" s="10"/>
      <c r="T35" s="10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1:31" x14ac:dyDescent="0.2">
      <c r="A36" s="2" t="s">
        <v>66</v>
      </c>
      <c r="C36" s="1"/>
      <c r="D36" s="1"/>
      <c r="E36" s="7">
        <f t="shared" ref="E36:I36" si="39">E33/E32</f>
        <v>0.60377675199328584</v>
      </c>
      <c r="F36" s="7">
        <f t="shared" si="39"/>
        <v>0.86620033254973916</v>
      </c>
      <c r="G36" s="7">
        <f t="shared" si="39"/>
        <v>1.0747444566755779</v>
      </c>
      <c r="H36" s="7">
        <f t="shared" si="39"/>
        <v>0.54265086206896551</v>
      </c>
      <c r="I36" s="7">
        <f t="shared" si="39"/>
        <v>0.80609713689579232</v>
      </c>
      <c r="J36" s="7">
        <f>J33/J32</f>
        <v>0.76947673600360289</v>
      </c>
      <c r="K36" s="10">
        <v>0.8</v>
      </c>
      <c r="L36" s="10">
        <v>0.8</v>
      </c>
      <c r="M36" s="10">
        <v>0.8</v>
      </c>
      <c r="N36" s="10">
        <v>0.8</v>
      </c>
      <c r="O36" s="10">
        <v>0.8</v>
      </c>
      <c r="P36" s="10">
        <v>0.8</v>
      </c>
      <c r="Q36" s="10">
        <v>0.8</v>
      </c>
      <c r="R36" s="10">
        <v>0.8</v>
      </c>
      <c r="S36" s="10">
        <v>0.8</v>
      </c>
      <c r="T36" s="10">
        <v>0.8</v>
      </c>
      <c r="U36" s="10">
        <v>0.8</v>
      </c>
      <c r="V36" s="10">
        <v>0.8</v>
      </c>
      <c r="W36" s="10">
        <v>0.8</v>
      </c>
      <c r="X36" s="10">
        <v>0.8</v>
      </c>
      <c r="Y36" s="10">
        <v>0.8</v>
      </c>
      <c r="Z36" s="10">
        <v>0.8</v>
      </c>
      <c r="AA36" s="10">
        <v>0.8</v>
      </c>
      <c r="AB36" s="10">
        <v>0.8</v>
      </c>
      <c r="AC36" s="10">
        <v>0.8</v>
      </c>
      <c r="AD36" s="10">
        <v>0.8</v>
      </c>
      <c r="AE36" s="10">
        <v>0.8</v>
      </c>
    </row>
    <row r="37" spans="1:31" x14ac:dyDescent="0.2">
      <c r="A37" s="2"/>
      <c r="C37" s="1"/>
      <c r="D37" s="1"/>
      <c r="E37" s="7"/>
      <c r="F37" s="7"/>
      <c r="G37" s="7"/>
      <c r="H37" s="7"/>
      <c r="I37" s="7"/>
      <c r="J37" s="7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 spans="1:31" x14ac:dyDescent="0.2">
      <c r="C38" s="1"/>
      <c r="D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x14ac:dyDescent="0.2">
      <c r="A39" t="s">
        <v>52</v>
      </c>
      <c r="C39" s="1"/>
      <c r="D39" s="1"/>
      <c r="E39">
        <v>13939</v>
      </c>
      <c r="F39">
        <v>14258</v>
      </c>
      <c r="G39">
        <v>15253</v>
      </c>
      <c r="H39">
        <v>14255</v>
      </c>
      <c r="I39">
        <v>14251</v>
      </c>
      <c r="J39">
        <v>14196</v>
      </c>
      <c r="K39" s="11"/>
    </row>
    <row r="40" spans="1:31" x14ac:dyDescent="0.2">
      <c r="A40" t="s">
        <v>53</v>
      </c>
      <c r="C40" s="1"/>
      <c r="D40" s="1"/>
      <c r="E40">
        <f>-608+5217-1046</f>
        <v>3563</v>
      </c>
      <c r="F40">
        <f>972-16366-502</f>
        <v>-15896</v>
      </c>
      <c r="G40">
        <f>-5648-4154+5421-300</f>
        <v>-4681</v>
      </c>
      <c r="H40">
        <f>1766-1100-1303</f>
        <v>-637</v>
      </c>
      <c r="I40">
        <f>890-587-2317</f>
        <v>-2014</v>
      </c>
      <c r="J40">
        <f>-1416+5512+465</f>
        <v>4561</v>
      </c>
      <c r="L40" s="8"/>
      <c r="M40" s="8"/>
      <c r="N40" s="8"/>
      <c r="O40" s="8"/>
    </row>
    <row r="41" spans="1:31" x14ac:dyDescent="0.2">
      <c r="A41" t="s">
        <v>54</v>
      </c>
      <c r="C41" s="1"/>
      <c r="D41" s="1"/>
      <c r="E41">
        <v>-10886</v>
      </c>
      <c r="F41">
        <v>-9925</v>
      </c>
      <c r="G41">
        <v>-10490</v>
      </c>
      <c r="H41">
        <v>-5934</v>
      </c>
      <c r="I41">
        <v>-6876</v>
      </c>
      <c r="J41">
        <v>-9966</v>
      </c>
      <c r="O41" s="7"/>
    </row>
    <row r="42" spans="1:31" x14ac:dyDescent="0.2">
      <c r="A42" t="s">
        <v>55</v>
      </c>
      <c r="C42" s="1"/>
      <c r="D42" s="1"/>
      <c r="E42" s="1">
        <f>E28+SUM(E39:E41)</f>
        <v>23297</v>
      </c>
      <c r="F42" s="1">
        <f>F28+SUM(F39:F41)</f>
        <v>5878</v>
      </c>
      <c r="G42" s="1">
        <f>G28+SUM(G39:G41)</f>
        <v>12800</v>
      </c>
      <c r="H42" s="1">
        <f>H28+SUM(H39:H41)</f>
        <v>35524</v>
      </c>
      <c r="I42" s="1">
        <f t="shared" ref="I42:J42" si="40">I28+SUM(I39:I41)</f>
        <v>31242</v>
      </c>
      <c r="J42" s="1">
        <f t="shared" si="40"/>
        <v>44318</v>
      </c>
      <c r="K42" s="1"/>
      <c r="L42" s="12" t="s">
        <v>83</v>
      </c>
      <c r="M42" s="1"/>
      <c r="N42" s="1"/>
      <c r="O42" s="10"/>
      <c r="P42" s="1" t="s">
        <v>84</v>
      </c>
      <c r="Q42" s="1"/>
      <c r="R42" s="1"/>
      <c r="S42" t="s">
        <v>88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x14ac:dyDescent="0.2">
      <c r="A43" s="2" t="s">
        <v>62</v>
      </c>
      <c r="C43" s="1"/>
      <c r="D43" s="1"/>
      <c r="E43" s="3">
        <f t="shared" ref="E43:J43" si="41">E42/E7</f>
        <v>0.22048816498045637</v>
      </c>
      <c r="F43" s="3">
        <f t="shared" si="41"/>
        <v>5.7957581912659366E-2</v>
      </c>
      <c r="G43" s="3">
        <f t="shared" si="41"/>
        <v>8.9723189939787326E-2</v>
      </c>
      <c r="H43" s="3">
        <f t="shared" si="41"/>
        <v>0.22128921336555951</v>
      </c>
      <c r="I43" s="3">
        <f t="shared" si="41"/>
        <v>0.22674785713767301</v>
      </c>
      <c r="J43" s="3">
        <f t="shared" si="41"/>
        <v>0.29012470950214397</v>
      </c>
      <c r="K43" s="9"/>
      <c r="L43" t="s">
        <v>77</v>
      </c>
      <c r="M43" s="3">
        <v>-0.01</v>
      </c>
      <c r="P43" t="s">
        <v>85</v>
      </c>
      <c r="Q43">
        <v>10</v>
      </c>
    </row>
    <row r="44" spans="1:31" x14ac:dyDescent="0.2">
      <c r="C44" s="1"/>
      <c r="D44" s="1"/>
      <c r="L44" t="s">
        <v>76</v>
      </c>
      <c r="M44" s="3">
        <f>0.0348+0.0578</f>
        <v>9.2599999999999988E-2</v>
      </c>
      <c r="P44" t="s">
        <v>86</v>
      </c>
      <c r="Q44" s="8">
        <f>Q43*O32</f>
        <v>5.4200275251511698</v>
      </c>
    </row>
    <row r="45" spans="1:31" x14ac:dyDescent="0.2">
      <c r="C45" s="1"/>
      <c r="D45" s="1"/>
      <c r="K45" s="3"/>
      <c r="L45" s="3" t="s">
        <v>78</v>
      </c>
      <c r="M45" s="5">
        <f>NPV(M44,K32:CQ32)</f>
        <v>6.3901828530534033</v>
      </c>
      <c r="P45" t="s">
        <v>103</v>
      </c>
      <c r="Q45" s="8">
        <f>SUM(K34:O34)</f>
        <v>2.4098434125104031</v>
      </c>
      <c r="S45" t="s">
        <v>98</v>
      </c>
    </row>
    <row r="46" spans="1:31" x14ac:dyDescent="0.2">
      <c r="C46" s="1"/>
      <c r="D46" s="1"/>
      <c r="K46" s="5"/>
      <c r="L46" t="s">
        <v>79</v>
      </c>
      <c r="M46">
        <v>5</v>
      </c>
      <c r="P46" t="s">
        <v>87</v>
      </c>
      <c r="Q46" s="1">
        <v>5</v>
      </c>
      <c r="S46" t="s">
        <v>89</v>
      </c>
    </row>
    <row r="47" spans="1:31" x14ac:dyDescent="0.2">
      <c r="C47" s="1"/>
      <c r="D47" s="1"/>
      <c r="L47" t="s">
        <v>80</v>
      </c>
      <c r="M47" s="10">
        <f>M45/M46-1</f>
        <v>0.27803657061068066</v>
      </c>
      <c r="P47" t="s">
        <v>80</v>
      </c>
      <c r="Q47" s="10">
        <f>Q44/Q46-1</f>
        <v>8.4005505030233962E-2</v>
      </c>
      <c r="S47" t="s">
        <v>99</v>
      </c>
    </row>
    <row r="48" spans="1:31" x14ac:dyDescent="0.2">
      <c r="A48" t="s">
        <v>27</v>
      </c>
      <c r="C48" s="1"/>
      <c r="D48" s="1"/>
      <c r="E48">
        <v>226107</v>
      </c>
      <c r="F48" s="1">
        <v>221837</v>
      </c>
      <c r="G48" s="1">
        <v>213249</v>
      </c>
      <c r="H48" s="1">
        <v>200381</v>
      </c>
      <c r="I48" s="1">
        <v>193640</v>
      </c>
      <c r="J48" s="1">
        <v>189320</v>
      </c>
      <c r="K48" s="6"/>
      <c r="L48" s="1" t="s">
        <v>82</v>
      </c>
      <c r="M48" s="10">
        <f>(Q45+M45)/M46</f>
        <v>1.7600052531127612</v>
      </c>
      <c r="N48" s="1"/>
      <c r="O48" s="1"/>
      <c r="P48" t="s">
        <v>82</v>
      </c>
      <c r="Q48" s="10">
        <f>(Q44+Q45)/Q46-1</f>
        <v>0.56597418753231454</v>
      </c>
      <c r="R48" s="1"/>
      <c r="S48" s="1" t="s">
        <v>104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x14ac:dyDescent="0.2">
      <c r="A49" t="s">
        <v>28</v>
      </c>
      <c r="C49" s="1"/>
      <c r="D49" s="1"/>
      <c r="E49">
        <v>12363</v>
      </c>
      <c r="F49" s="1">
        <v>12332</v>
      </c>
      <c r="G49" s="1">
        <v>12338</v>
      </c>
      <c r="H49" s="1">
        <v>12336</v>
      </c>
      <c r="I49" s="1">
        <v>12344</v>
      </c>
      <c r="J49" s="1">
        <v>12342</v>
      </c>
      <c r="K49" s="1"/>
      <c r="L49" s="1" t="s">
        <v>81</v>
      </c>
      <c r="M49" s="15">
        <f>((M45+Q45)/M46)^(1/5)-1</f>
        <v>0.11970287367985444</v>
      </c>
      <c r="N49" s="1"/>
      <c r="O49" s="1"/>
      <c r="P49" s="1" t="s">
        <v>81</v>
      </c>
      <c r="Q49" s="15">
        <f>((Q44+Q45)/Q46)^(1/5)-1</f>
        <v>9.3847855830024862E-2</v>
      </c>
      <c r="R49" s="1"/>
      <c r="S49" s="1" t="s">
        <v>107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x14ac:dyDescent="0.2">
      <c r="A50" t="s">
        <v>49</v>
      </c>
      <c r="C50" s="1"/>
      <c r="D50" s="1"/>
      <c r="E50">
        <v>5583</v>
      </c>
      <c r="F50" s="1">
        <v>5533</v>
      </c>
      <c r="G50" s="1">
        <v>5608</v>
      </c>
      <c r="H50" s="1">
        <v>10187</v>
      </c>
      <c r="I50" s="1">
        <v>10309</v>
      </c>
      <c r="J50" s="1">
        <v>10318</v>
      </c>
      <c r="K50" s="1"/>
      <c r="L50" s="1"/>
      <c r="M50" s="10"/>
      <c r="N50" s="1"/>
      <c r="O50" s="1"/>
      <c r="P50" s="1"/>
      <c r="Q50" s="10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x14ac:dyDescent="0.2">
      <c r="A51" t="s">
        <v>29</v>
      </c>
      <c r="C51" s="1"/>
      <c r="D51" s="1"/>
      <c r="E51">
        <v>1700</v>
      </c>
      <c r="F51" s="1">
        <v>1583</v>
      </c>
      <c r="G51" s="1">
        <v>2508</v>
      </c>
      <c r="H51" s="1">
        <v>2377</v>
      </c>
      <c r="I51" s="1">
        <v>2236</v>
      </c>
      <c r="J51" s="1">
        <v>2099</v>
      </c>
      <c r="K51" s="1"/>
      <c r="L51" s="1"/>
      <c r="M51" s="1"/>
      <c r="N51" s="1"/>
      <c r="O51" s="1"/>
      <c r="P51" s="1"/>
      <c r="Q51" s="10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x14ac:dyDescent="0.2">
      <c r="A52" t="s">
        <v>30</v>
      </c>
      <c r="C52" s="1"/>
      <c r="D52" s="1"/>
      <c r="E52">
        <v>1560</v>
      </c>
      <c r="F52" s="1">
        <v>1625</v>
      </c>
      <c r="G52" s="1">
        <v>1697</v>
      </c>
      <c r="H52" s="1">
        <v>1842</v>
      </c>
      <c r="I52" s="1">
        <v>2022</v>
      </c>
      <c r="J52" s="1">
        <v>2147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x14ac:dyDescent="0.2">
      <c r="A53" t="s">
        <v>31</v>
      </c>
      <c r="C53" s="1"/>
      <c r="D53" s="1"/>
      <c r="E53">
        <v>218</v>
      </c>
      <c r="F53" s="1">
        <v>232</v>
      </c>
      <c r="G53" s="1">
        <v>280</v>
      </c>
      <c r="H53" s="1">
        <v>363</v>
      </c>
      <c r="I53" s="1">
        <v>304</v>
      </c>
      <c r="J53" s="1">
        <v>350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x14ac:dyDescent="0.2">
      <c r="A54" t="s">
        <v>32</v>
      </c>
      <c r="C54" s="1"/>
      <c r="D54" s="1"/>
      <c r="E54" s="1">
        <f t="shared" ref="E54:H54" si="42">SUM(E48:E53)</f>
        <v>247531</v>
      </c>
      <c r="F54" s="1">
        <f t="shared" si="42"/>
        <v>243142</v>
      </c>
      <c r="G54" s="1">
        <f t="shared" si="42"/>
        <v>235680</v>
      </c>
      <c r="H54" s="1">
        <f t="shared" si="42"/>
        <v>227486</v>
      </c>
      <c r="I54" s="1">
        <f>SUM(I48:I53)</f>
        <v>220855</v>
      </c>
      <c r="J54" s="1">
        <f>SUM(J48:J53)</f>
        <v>216576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x14ac:dyDescent="0.2">
      <c r="C55" s="1"/>
      <c r="D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x14ac:dyDescent="0.2">
      <c r="A56" t="s">
        <v>33</v>
      </c>
      <c r="C56" s="1"/>
      <c r="D56" s="1"/>
      <c r="E56">
        <v>25712</v>
      </c>
      <c r="F56" s="1">
        <v>42078</v>
      </c>
      <c r="G56" s="1">
        <v>46232</v>
      </c>
      <c r="H56" s="1">
        <v>47332</v>
      </c>
      <c r="I56" s="1">
        <v>47130</v>
      </c>
      <c r="J56" s="1">
        <v>41618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x14ac:dyDescent="0.2">
      <c r="A57" t="s">
        <v>34</v>
      </c>
      <c r="C57" s="1"/>
      <c r="D57" s="1"/>
      <c r="F57" s="1"/>
      <c r="G57" s="1"/>
      <c r="H57" s="1"/>
      <c r="I57" s="1">
        <v>165</v>
      </c>
      <c r="J57" s="1">
        <v>165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x14ac:dyDescent="0.2">
      <c r="A58" t="s">
        <v>35</v>
      </c>
      <c r="C58" s="1"/>
      <c r="D58" s="1"/>
      <c r="E58">
        <v>7630</v>
      </c>
      <c r="F58" s="1">
        <v>6885</v>
      </c>
      <c r="G58" s="1">
        <v>12607</v>
      </c>
      <c r="H58" s="1">
        <v>11063</v>
      </c>
      <c r="I58" s="1">
        <v>12389</v>
      </c>
      <c r="J58" s="1">
        <v>14353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x14ac:dyDescent="0.2">
      <c r="A59" t="s">
        <v>36</v>
      </c>
      <c r="C59" s="1"/>
      <c r="D59" s="1"/>
      <c r="E59">
        <v>13782</v>
      </c>
      <c r="F59" s="1">
        <v>0</v>
      </c>
      <c r="G59" s="1">
        <v>2209</v>
      </c>
      <c r="H59" s="1">
        <v>18181</v>
      </c>
      <c r="I59" s="1">
        <v>25380</v>
      </c>
      <c r="J59" s="1">
        <v>42184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x14ac:dyDescent="0.2">
      <c r="A60" t="s">
        <v>37</v>
      </c>
      <c r="C60" s="1"/>
      <c r="D60" s="1"/>
      <c r="E60" s="1">
        <f t="shared" ref="E60" si="43">SUM(E56:E59)</f>
        <v>47124</v>
      </c>
      <c r="F60" s="1">
        <f t="shared" ref="F60:H60" si="44">SUM(F56:F59)</f>
        <v>48963</v>
      </c>
      <c r="G60" s="1">
        <f t="shared" si="44"/>
        <v>61048</v>
      </c>
      <c r="H60" s="1">
        <f t="shared" si="44"/>
        <v>76576</v>
      </c>
      <c r="I60" s="1">
        <f>SUM(I56:I59)</f>
        <v>85064</v>
      </c>
      <c r="J60" s="1">
        <f>SUM(J56:J59)</f>
        <v>98320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x14ac:dyDescent="0.2">
      <c r="A61" t="s">
        <v>38</v>
      </c>
      <c r="C61" s="1"/>
      <c r="D61" s="1"/>
      <c r="E61" s="1">
        <f t="shared" ref="E61" si="45">E54+E60</f>
        <v>294655</v>
      </c>
      <c r="F61" s="1">
        <f t="shared" ref="F61:I61" si="46">F54+F60</f>
        <v>292105</v>
      </c>
      <c r="G61" s="1">
        <f t="shared" si="46"/>
        <v>296728</v>
      </c>
      <c r="H61" s="1">
        <f t="shared" si="46"/>
        <v>304062</v>
      </c>
      <c r="I61" s="1">
        <f t="shared" si="46"/>
        <v>305919</v>
      </c>
      <c r="J61" s="1">
        <f>J54+J60</f>
        <v>314896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x14ac:dyDescent="0.2">
      <c r="C62" s="1"/>
      <c r="D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x14ac:dyDescent="0.2">
      <c r="A63" t="s">
        <v>39</v>
      </c>
      <c r="C63" s="1"/>
      <c r="D63" s="1"/>
      <c r="E63" s="1">
        <v>30932</v>
      </c>
      <c r="F63" s="1">
        <v>30932</v>
      </c>
      <c r="G63" s="1">
        <v>30932</v>
      </c>
      <c r="H63" s="1">
        <v>30932</v>
      </c>
      <c r="I63" s="1">
        <v>30932</v>
      </c>
      <c r="J63" s="1">
        <v>30932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x14ac:dyDescent="0.2">
      <c r="A64" t="s">
        <v>40</v>
      </c>
      <c r="C64" s="1"/>
      <c r="D64" s="1"/>
      <c r="E64">
        <v>216133</v>
      </c>
      <c r="F64" s="1">
        <v>216654</v>
      </c>
      <c r="G64" s="1">
        <v>213497</v>
      </c>
      <c r="H64" s="1">
        <v>226312</v>
      </c>
      <c r="I64" s="1">
        <v>231446</v>
      </c>
      <c r="J64" s="1">
        <v>243281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x14ac:dyDescent="0.2">
      <c r="A65" t="s">
        <v>41</v>
      </c>
      <c r="C65" s="1"/>
      <c r="D65" s="1"/>
      <c r="E65" s="1">
        <f t="shared" ref="E65:I65" si="47">E63+E64</f>
        <v>247065</v>
      </c>
      <c r="F65" s="1">
        <f t="shared" si="47"/>
        <v>247586</v>
      </c>
      <c r="G65" s="1">
        <f t="shared" si="47"/>
        <v>244429</v>
      </c>
      <c r="H65" s="1">
        <f t="shared" si="47"/>
        <v>257244</v>
      </c>
      <c r="I65" s="1">
        <f t="shared" si="47"/>
        <v>262378</v>
      </c>
      <c r="J65" s="1">
        <f>J63+J64</f>
        <v>274213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x14ac:dyDescent="0.2">
      <c r="C66" s="1"/>
      <c r="D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x14ac:dyDescent="0.2">
      <c r="A67" t="s">
        <v>42</v>
      </c>
      <c r="C67" s="1"/>
      <c r="D67" s="1"/>
      <c r="E67">
        <v>4760</v>
      </c>
      <c r="F67" s="1">
        <v>3801</v>
      </c>
      <c r="G67" s="1">
        <v>12249</v>
      </c>
      <c r="H67" s="1">
        <v>9023</v>
      </c>
      <c r="I67" s="1">
        <v>5703</v>
      </c>
      <c r="J67" s="1">
        <v>3651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x14ac:dyDescent="0.2">
      <c r="A68" t="s">
        <v>43</v>
      </c>
      <c r="C68" s="1"/>
      <c r="D68" s="1"/>
      <c r="E68">
        <v>1605</v>
      </c>
      <c r="F68" s="1">
        <v>1542</v>
      </c>
      <c r="G68" s="1">
        <v>1471</v>
      </c>
      <c r="H68" s="1">
        <v>1412</v>
      </c>
      <c r="I68" s="1">
        <v>1320</v>
      </c>
      <c r="J68" s="1">
        <v>1205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x14ac:dyDescent="0.2">
      <c r="A69" t="s">
        <v>44</v>
      </c>
      <c r="C69" s="1"/>
      <c r="D69" s="1"/>
      <c r="E69">
        <v>25182</v>
      </c>
      <c r="F69" s="1">
        <v>23910</v>
      </c>
      <c r="G69" s="1">
        <v>22611</v>
      </c>
      <c r="H69" s="1">
        <v>21472</v>
      </c>
      <c r="I69" s="1">
        <v>20349</v>
      </c>
      <c r="J69" s="1">
        <v>22172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x14ac:dyDescent="0.2">
      <c r="A70" t="s">
        <v>75</v>
      </c>
      <c r="C70" s="1"/>
      <c r="D70" s="1"/>
      <c r="E70" s="1">
        <v>300</v>
      </c>
      <c r="F70" s="1">
        <v>300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x14ac:dyDescent="0.2">
      <c r="A71" t="s">
        <v>32</v>
      </c>
      <c r="C71" s="1"/>
      <c r="D71" s="1"/>
      <c r="E71" s="1">
        <f>SUM(E67:E70)</f>
        <v>31847</v>
      </c>
      <c r="F71" s="1">
        <f>SUM(F67:F70)</f>
        <v>29553</v>
      </c>
      <c r="G71" s="1">
        <f t="shared" ref="G71:J71" si="48">SUM(G67:G70)</f>
        <v>36331</v>
      </c>
      <c r="H71" s="1">
        <f t="shared" si="48"/>
        <v>31907</v>
      </c>
      <c r="I71" s="1">
        <f t="shared" si="48"/>
        <v>27372</v>
      </c>
      <c r="J71" s="1">
        <f t="shared" si="48"/>
        <v>27028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x14ac:dyDescent="0.2">
      <c r="C72" s="1"/>
      <c r="D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x14ac:dyDescent="0.2">
      <c r="A73" t="s">
        <v>42</v>
      </c>
      <c r="C73" s="1"/>
      <c r="D73" s="1"/>
      <c r="E73">
        <v>8181</v>
      </c>
      <c r="F73" s="1">
        <f>6149+959</f>
        <v>7108</v>
      </c>
      <c r="G73" s="1">
        <v>3454</v>
      </c>
      <c r="H73" s="1">
        <v>3501</v>
      </c>
      <c r="I73" s="1">
        <v>2599</v>
      </c>
      <c r="J73" s="1">
        <v>2198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x14ac:dyDescent="0.2">
      <c r="A74" t="s">
        <v>43</v>
      </c>
      <c r="C74" s="1"/>
      <c r="D74" s="1"/>
      <c r="E74">
        <v>121</v>
      </c>
      <c r="F74" s="1">
        <v>115</v>
      </c>
      <c r="G74" s="1">
        <v>115</v>
      </c>
      <c r="H74" s="1">
        <v>116</v>
      </c>
      <c r="I74" s="1">
        <v>132</v>
      </c>
      <c r="J74" s="1">
        <v>152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x14ac:dyDescent="0.2">
      <c r="A75" t="s">
        <v>45</v>
      </c>
      <c r="C75" s="1"/>
      <c r="D75" s="1"/>
      <c r="E75">
        <v>70</v>
      </c>
      <c r="F75" s="1">
        <v>875</v>
      </c>
      <c r="G75" s="1">
        <v>200</v>
      </c>
      <c r="H75" s="1">
        <v>432</v>
      </c>
      <c r="I75" s="1">
        <v>3037</v>
      </c>
      <c r="J75" s="1">
        <v>455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x14ac:dyDescent="0.2">
      <c r="A76" t="s">
        <v>46</v>
      </c>
      <c r="C76" s="1"/>
      <c r="D76" s="1"/>
      <c r="E76">
        <v>7371</v>
      </c>
      <c r="F76" s="1">
        <v>6868</v>
      </c>
      <c r="G76" s="1">
        <v>12199</v>
      </c>
      <c r="H76" s="1">
        <v>10862</v>
      </c>
      <c r="I76" s="1">
        <v>10401</v>
      </c>
      <c r="J76" s="1">
        <v>10850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x14ac:dyDescent="0.2">
      <c r="A77" t="s">
        <v>37</v>
      </c>
      <c r="C77" s="1"/>
      <c r="D77" s="1"/>
      <c r="E77" s="1">
        <f t="shared" ref="E77:F77" si="49">SUM(E73:E76)</f>
        <v>15743</v>
      </c>
      <c r="F77" s="1">
        <f t="shared" si="49"/>
        <v>14966</v>
      </c>
      <c r="G77" s="1">
        <f t="shared" ref="G77:I77" si="50">SUM(G73:G76)</f>
        <v>15968</v>
      </c>
      <c r="H77" s="1">
        <f t="shared" si="50"/>
        <v>14911</v>
      </c>
      <c r="I77" s="1">
        <f t="shared" si="50"/>
        <v>16169</v>
      </c>
      <c r="J77" s="1">
        <f>SUM(J73:J76)</f>
        <v>13655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x14ac:dyDescent="0.2">
      <c r="A78" t="s">
        <v>47</v>
      </c>
      <c r="C78" s="1"/>
      <c r="D78" s="1"/>
      <c r="E78" s="1">
        <f t="shared" ref="E78:F78" si="51">E71+E77</f>
        <v>47590</v>
      </c>
      <c r="F78" s="1">
        <f t="shared" si="51"/>
        <v>44519</v>
      </c>
      <c r="G78" s="1">
        <f t="shared" ref="G78:I78" si="52">G71+G77</f>
        <v>52299</v>
      </c>
      <c r="H78" s="1">
        <f t="shared" si="52"/>
        <v>46818</v>
      </c>
      <c r="I78" s="1">
        <f t="shared" si="52"/>
        <v>43541</v>
      </c>
      <c r="J78" s="1">
        <f>J71+J77</f>
        <v>40683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x14ac:dyDescent="0.2">
      <c r="A79" t="s">
        <v>48</v>
      </c>
      <c r="C79" s="1"/>
      <c r="D79" s="1"/>
      <c r="E79" s="1">
        <f t="shared" ref="E79:F79" si="53">E65+E78</f>
        <v>294655</v>
      </c>
      <c r="F79" s="1">
        <f t="shared" si="53"/>
        <v>292105</v>
      </c>
      <c r="G79" s="1">
        <f t="shared" ref="G79:I79" si="54">G65+G78</f>
        <v>296728</v>
      </c>
      <c r="H79" s="1">
        <f t="shared" si="54"/>
        <v>304062</v>
      </c>
      <c r="I79" s="1">
        <f t="shared" si="54"/>
        <v>305919</v>
      </c>
      <c r="J79" s="1">
        <f>J65+J78</f>
        <v>314896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x14ac:dyDescent="0.2">
      <c r="C80" s="1"/>
      <c r="D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x14ac:dyDescent="0.2">
      <c r="A81" t="s">
        <v>50</v>
      </c>
      <c r="C81" s="1"/>
      <c r="D81" s="1"/>
      <c r="E81" s="1">
        <f t="shared" ref="E81:F81" si="55">E61-E78</f>
        <v>247065</v>
      </c>
      <c r="F81" s="1">
        <f t="shared" si="55"/>
        <v>247586</v>
      </c>
      <c r="G81" s="1">
        <f t="shared" ref="G81:I81" si="56">G61-G78</f>
        <v>244429</v>
      </c>
      <c r="H81" s="1">
        <f t="shared" si="56"/>
        <v>257244</v>
      </c>
      <c r="I81" s="1">
        <f t="shared" si="56"/>
        <v>262378</v>
      </c>
      <c r="J81" s="1">
        <f>J61-J78</f>
        <v>274213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x14ac:dyDescent="0.2">
      <c r="A82" t="s">
        <v>51</v>
      </c>
      <c r="C82" s="1"/>
      <c r="D82" s="1"/>
      <c r="E82" s="1">
        <f t="shared" ref="E82:F82" si="57">E60-E78</f>
        <v>-466</v>
      </c>
      <c r="F82" s="1">
        <f t="shared" si="57"/>
        <v>4444</v>
      </c>
      <c r="G82" s="1">
        <f t="shared" ref="G82:H82" si="58">G60-G78</f>
        <v>8749</v>
      </c>
      <c r="H82" s="1">
        <f t="shared" si="58"/>
        <v>29758</v>
      </c>
      <c r="I82" s="1">
        <f>I60-I78</f>
        <v>41523</v>
      </c>
      <c r="J82" s="1">
        <f>J60-J78</f>
        <v>57637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x14ac:dyDescent="0.2"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x14ac:dyDescent="0.2"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x14ac:dyDescent="0.2"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x14ac:dyDescent="0.2"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x14ac:dyDescent="0.2"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x14ac:dyDescent="0.2"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x14ac:dyDescent="0.2"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x14ac:dyDescent="0.2"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x14ac:dyDescent="0.2"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x14ac:dyDescent="0.2"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x14ac:dyDescent="0.2"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x14ac:dyDescent="0.2"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x14ac:dyDescent="0.2"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x14ac:dyDescent="0.2"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6:31" x14ac:dyDescent="0.2"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6:31" x14ac:dyDescent="0.2"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6:31" x14ac:dyDescent="0.2"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6:31" x14ac:dyDescent="0.2"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6:31" x14ac:dyDescent="0.2"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6:31" x14ac:dyDescent="0.2"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6:31" x14ac:dyDescent="0.2"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6:31" x14ac:dyDescent="0.2"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6:31" x14ac:dyDescent="0.2"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6:31" x14ac:dyDescent="0.2"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6:31" x14ac:dyDescent="0.2"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6:31" x14ac:dyDescent="0.2"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6:31" x14ac:dyDescent="0.2"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6:31" x14ac:dyDescent="0.2"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6:31" x14ac:dyDescent="0.2"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6:31" x14ac:dyDescent="0.2"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6:31" x14ac:dyDescent="0.2"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6:31" x14ac:dyDescent="0.2"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6:31" x14ac:dyDescent="0.2"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6:31" x14ac:dyDescent="0.2"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6:31" x14ac:dyDescent="0.2"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6:31" x14ac:dyDescent="0.2"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6:31" x14ac:dyDescent="0.2"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6:31" x14ac:dyDescent="0.2"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6:31" x14ac:dyDescent="0.2"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6:31" x14ac:dyDescent="0.2"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6:31" x14ac:dyDescent="0.2"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6:31" x14ac:dyDescent="0.2"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6:31" x14ac:dyDescent="0.2"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6:31" x14ac:dyDescent="0.2"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6:31" x14ac:dyDescent="0.2"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6:31" x14ac:dyDescent="0.2"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6:31" x14ac:dyDescent="0.2"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6:31" x14ac:dyDescent="0.2"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6:31" x14ac:dyDescent="0.2"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6:31" x14ac:dyDescent="0.2"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6:31" x14ac:dyDescent="0.2"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6:31" x14ac:dyDescent="0.2"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6:31" x14ac:dyDescent="0.2"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6:31" x14ac:dyDescent="0.2"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6:31" x14ac:dyDescent="0.2"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6:31" x14ac:dyDescent="0.2"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6:31" x14ac:dyDescent="0.2"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6:31" x14ac:dyDescent="0.2"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6:31" x14ac:dyDescent="0.2"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6:31" x14ac:dyDescent="0.2"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6:31" x14ac:dyDescent="0.2"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6:31" x14ac:dyDescent="0.2"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6:31" x14ac:dyDescent="0.2"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6:31" x14ac:dyDescent="0.2"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6:31" x14ac:dyDescent="0.2"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6:31" x14ac:dyDescent="0.2"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6:31" x14ac:dyDescent="0.2"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6:31" x14ac:dyDescent="0.2"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6:31" x14ac:dyDescent="0.2"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6:31" x14ac:dyDescent="0.2"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6:31" x14ac:dyDescent="0.2"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6:31" x14ac:dyDescent="0.2"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6:31" x14ac:dyDescent="0.2"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6:31" x14ac:dyDescent="0.2"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6:31" x14ac:dyDescent="0.2"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6:31" x14ac:dyDescent="0.2"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6:31" x14ac:dyDescent="0.2"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6:31" x14ac:dyDescent="0.2"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6:31" x14ac:dyDescent="0.2"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6:31" x14ac:dyDescent="0.2"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6:31" x14ac:dyDescent="0.2"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6:31" x14ac:dyDescent="0.2"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6:31" x14ac:dyDescent="0.2"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6:31" x14ac:dyDescent="0.2"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6:31" x14ac:dyDescent="0.2"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6:31" x14ac:dyDescent="0.2"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6:31" x14ac:dyDescent="0.2"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6:31" x14ac:dyDescent="0.2"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6:31" x14ac:dyDescent="0.2"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6:31" x14ac:dyDescent="0.2"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6:31" x14ac:dyDescent="0.2"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6:31" x14ac:dyDescent="0.2"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6:31" x14ac:dyDescent="0.2"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6:31" x14ac:dyDescent="0.2"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6:31" x14ac:dyDescent="0.2"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6:31" x14ac:dyDescent="0.2"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6:31" x14ac:dyDescent="0.2"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6:31" x14ac:dyDescent="0.2"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6:31" x14ac:dyDescent="0.2"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6:31" x14ac:dyDescent="0.2"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6:31" x14ac:dyDescent="0.2"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6:31" x14ac:dyDescent="0.2"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6:31" x14ac:dyDescent="0.2"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6:31" x14ac:dyDescent="0.2"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6:31" x14ac:dyDescent="0.2"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6:31" x14ac:dyDescent="0.2"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6:31" x14ac:dyDescent="0.2"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6:31" x14ac:dyDescent="0.2"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6:31" x14ac:dyDescent="0.2"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6:31" x14ac:dyDescent="0.2"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6:31" x14ac:dyDescent="0.2"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6:31" x14ac:dyDescent="0.2"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6:31" x14ac:dyDescent="0.2"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6:31" x14ac:dyDescent="0.2"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6:31" x14ac:dyDescent="0.2"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6:31" x14ac:dyDescent="0.2"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6:31" x14ac:dyDescent="0.2"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6:31" x14ac:dyDescent="0.2"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6:31" x14ac:dyDescent="0.2"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6:31" x14ac:dyDescent="0.2"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6:31" x14ac:dyDescent="0.2"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6:31" x14ac:dyDescent="0.2"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6:31" x14ac:dyDescent="0.2"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6:31" x14ac:dyDescent="0.2"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6:31" x14ac:dyDescent="0.2"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6:31" x14ac:dyDescent="0.2"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6:31" x14ac:dyDescent="0.2"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6:31" x14ac:dyDescent="0.2"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6:31" x14ac:dyDescent="0.2"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6:31" x14ac:dyDescent="0.2"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6:31" x14ac:dyDescent="0.2"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6:31" x14ac:dyDescent="0.2"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6:31" x14ac:dyDescent="0.2"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6:31" x14ac:dyDescent="0.2"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6:31" x14ac:dyDescent="0.2"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6:31" x14ac:dyDescent="0.2"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6:31" x14ac:dyDescent="0.2"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6:31" x14ac:dyDescent="0.2"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6:31" x14ac:dyDescent="0.2"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6:31" x14ac:dyDescent="0.2"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6:31" x14ac:dyDescent="0.2"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6:31" x14ac:dyDescent="0.2"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6:31" x14ac:dyDescent="0.2"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6:31" x14ac:dyDescent="0.2"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6:31" x14ac:dyDescent="0.2"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6:31" x14ac:dyDescent="0.2"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6:31" x14ac:dyDescent="0.2"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6:31" x14ac:dyDescent="0.2"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6:31" x14ac:dyDescent="0.2"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6:31" x14ac:dyDescent="0.2"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6:31" x14ac:dyDescent="0.2"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6:31" x14ac:dyDescent="0.2"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6:31" x14ac:dyDescent="0.2"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6:31" x14ac:dyDescent="0.2"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6:31" x14ac:dyDescent="0.2"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6:31" x14ac:dyDescent="0.2"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6:31" x14ac:dyDescent="0.2"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6:31" x14ac:dyDescent="0.2"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6:31" x14ac:dyDescent="0.2"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6:31" x14ac:dyDescent="0.2"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6:31" x14ac:dyDescent="0.2"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6:31" x14ac:dyDescent="0.2"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6:31" x14ac:dyDescent="0.2"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6:31" x14ac:dyDescent="0.2"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6:31" x14ac:dyDescent="0.2"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6:31" x14ac:dyDescent="0.2"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6:31" x14ac:dyDescent="0.2"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6:31" x14ac:dyDescent="0.2"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6:31" x14ac:dyDescent="0.2"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6:31" x14ac:dyDescent="0.2"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6:31" x14ac:dyDescent="0.2"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6:31" x14ac:dyDescent="0.2"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6:31" x14ac:dyDescent="0.2"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Morais</dc:creator>
  <cp:lastModifiedBy>Francisco Morais</cp:lastModifiedBy>
  <dcterms:created xsi:type="dcterms:W3CDTF">2026-05-11T00:12:32Z</dcterms:created>
  <dcterms:modified xsi:type="dcterms:W3CDTF">2026-05-16T00:57:34Z</dcterms:modified>
</cp:coreProperties>
</file>