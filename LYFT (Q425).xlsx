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tocks\"/>
    </mc:Choice>
  </mc:AlternateContent>
  <xr:revisionPtr revIDLastSave="0" documentId="13_ncr:1_{FF82800F-4EFE-4CE2-A512-D6C2F8850C5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creen" sheetId="1" r:id="rId1"/>
    <sheet name="Metrics" sheetId="2" r:id="rId2"/>
    <sheet name="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12" i="3"/>
  <c r="J19" i="3" s="1"/>
  <c r="J10" i="3"/>
  <c r="N12" i="3"/>
  <c r="N28" i="3" s="1"/>
  <c r="F12" i="3"/>
  <c r="P36" i="3"/>
  <c r="J3" i="1"/>
  <c r="L23" i="3"/>
  <c r="K23" i="3"/>
  <c r="K27" i="3" s="1"/>
  <c r="J23" i="3"/>
  <c r="I23" i="3"/>
  <c r="I27" i="3" s="1"/>
  <c r="H23" i="3"/>
  <c r="G23" i="3"/>
  <c r="G27" i="3" s="1"/>
  <c r="F23" i="3"/>
  <c r="E23" i="3"/>
  <c r="E27" i="3" s="1"/>
  <c r="D23" i="3"/>
  <c r="D27" i="3" s="1"/>
  <c r="C23" i="3"/>
  <c r="C27" i="3" s="1"/>
  <c r="N22" i="3"/>
  <c r="N23" i="3" s="1"/>
  <c r="M22" i="3"/>
  <c r="M23" i="3" s="1"/>
  <c r="N19" i="3"/>
  <c r="J18" i="3"/>
  <c r="F18" i="3"/>
  <c r="N16" i="3"/>
  <c r="M16" i="3"/>
  <c r="L16" i="3"/>
  <c r="K16" i="3"/>
  <c r="I16" i="3"/>
  <c r="H16" i="3"/>
  <c r="G16" i="3"/>
  <c r="E16" i="3"/>
  <c r="D16" i="3"/>
  <c r="C16" i="3"/>
  <c r="J15" i="3"/>
  <c r="F15" i="3"/>
  <c r="F10" i="3"/>
  <c r="J9" i="3"/>
  <c r="F9" i="3"/>
  <c r="J8" i="3"/>
  <c r="F8" i="3"/>
  <c r="J7" i="3"/>
  <c r="F7" i="3"/>
  <c r="N5" i="3"/>
  <c r="M5" i="3"/>
  <c r="M12" i="3" s="1"/>
  <c r="L5" i="3"/>
  <c r="L12" i="3" s="1"/>
  <c r="K5" i="3"/>
  <c r="K12" i="3" s="1"/>
  <c r="I5" i="3"/>
  <c r="I12" i="3" s="1"/>
  <c r="H5" i="3"/>
  <c r="H12" i="3" s="1"/>
  <c r="H13" i="3" s="1"/>
  <c r="G5" i="3"/>
  <c r="G12" i="3" s="1"/>
  <c r="E5" i="3"/>
  <c r="E12" i="3" s="1"/>
  <c r="D5" i="3"/>
  <c r="D12" i="3" s="1"/>
  <c r="C5" i="3"/>
  <c r="C12" i="3" s="1"/>
  <c r="J4" i="3"/>
  <c r="F4" i="3"/>
  <c r="P3" i="3"/>
  <c r="J3" i="3"/>
  <c r="F3" i="3"/>
  <c r="Q2" i="3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N12" i="2"/>
  <c r="M12" i="2"/>
  <c r="L12" i="2"/>
  <c r="K12" i="2"/>
  <c r="I12" i="2"/>
  <c r="H12" i="2"/>
  <c r="G12" i="2"/>
  <c r="E12" i="2"/>
  <c r="N11" i="2"/>
  <c r="M11" i="2"/>
  <c r="L11" i="2"/>
  <c r="K11" i="2"/>
  <c r="J11" i="2"/>
  <c r="I11" i="2"/>
  <c r="H11" i="2"/>
  <c r="G11" i="2"/>
  <c r="N10" i="2"/>
  <c r="M10" i="2"/>
  <c r="L10" i="2"/>
  <c r="K10" i="2"/>
  <c r="J10" i="2"/>
  <c r="I10" i="2"/>
  <c r="H10" i="2"/>
  <c r="G10" i="2"/>
  <c r="N9" i="2"/>
  <c r="M9" i="2"/>
  <c r="L9" i="2"/>
  <c r="K9" i="2"/>
  <c r="J9" i="2"/>
  <c r="I9" i="2"/>
  <c r="H9" i="2"/>
  <c r="G9" i="2"/>
  <c r="J7" i="2"/>
  <c r="J12" i="2" s="1"/>
  <c r="F7" i="2"/>
  <c r="F12" i="2" s="1"/>
  <c r="J13" i="1"/>
  <c r="J13" i="3" l="1"/>
  <c r="F13" i="3"/>
  <c r="F16" i="3"/>
  <c r="F5" i="3"/>
  <c r="J5" i="3"/>
  <c r="J16" i="3"/>
  <c r="F27" i="3"/>
  <c r="J27" i="3"/>
  <c r="F28" i="3"/>
  <c r="J28" i="3"/>
  <c r="E28" i="3"/>
  <c r="E19" i="3"/>
  <c r="E13" i="3"/>
  <c r="I28" i="3"/>
  <c r="I19" i="3"/>
  <c r="I13" i="3"/>
  <c r="M28" i="3"/>
  <c r="M19" i="3"/>
  <c r="M13" i="3"/>
  <c r="Q3" i="3"/>
  <c r="P23" i="3"/>
  <c r="H27" i="3"/>
  <c r="H25" i="3"/>
  <c r="L27" i="3"/>
  <c r="L25" i="3"/>
  <c r="L30" i="3" s="1"/>
  <c r="C19" i="3"/>
  <c r="C13" i="3"/>
  <c r="C28" i="3"/>
  <c r="G19" i="3"/>
  <c r="G13" i="3"/>
  <c r="G28" i="3"/>
  <c r="K19" i="3"/>
  <c r="K13" i="3"/>
  <c r="K28" i="3"/>
  <c r="M27" i="3"/>
  <c r="M25" i="3"/>
  <c r="D19" i="3"/>
  <c r="D13" i="3"/>
  <c r="D28" i="3"/>
  <c r="H19" i="3"/>
  <c r="H28" i="3"/>
  <c r="L19" i="3"/>
  <c r="L13" i="3"/>
  <c r="L28" i="3"/>
  <c r="N13" i="3"/>
  <c r="F19" i="3"/>
  <c r="N27" i="3"/>
  <c r="N25" i="3"/>
  <c r="J8" i="1"/>
  <c r="F25" i="3"/>
  <c r="J25" i="3"/>
  <c r="G25" i="3"/>
  <c r="K25" i="3"/>
  <c r="K30" i="3" s="1"/>
  <c r="I25" i="3"/>
  <c r="R3" i="3" l="1"/>
  <c r="Q23" i="3"/>
  <c r="J14" i="1"/>
  <c r="J16" i="1"/>
  <c r="J15" i="1"/>
  <c r="R23" i="3" l="1"/>
  <c r="S3" i="3"/>
  <c r="S23" i="3" l="1"/>
  <c r="T3" i="3"/>
  <c r="U3" i="3" l="1"/>
  <c r="T23" i="3"/>
  <c r="V3" i="3" l="1"/>
  <c r="U23" i="3"/>
  <c r="V23" i="3" l="1"/>
  <c r="W3" i="3"/>
  <c r="W23" i="3" l="1"/>
  <c r="X3" i="3"/>
  <c r="Y3" i="3" l="1"/>
  <c r="X23" i="3"/>
  <c r="Z3" i="3" l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Y23" i="3"/>
  <c r="P33" i="3" l="1"/>
  <c r="P35" i="3" s="1"/>
  <c r="P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tc={0d16fec3-bc4d-4792-9f07-453489c18e84}</author>
  </authors>
  <commentList>
    <comment ref="P6" authorId="0" shapeId="0" xr:uid="{0D16FEC3-BC4D-4792-9F07-453489C18E8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goal of 15% cagr till 2027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tc={ac90bcde-5e1c-4358-872b-ac12c2795101}</author>
    <author>tc={72d0bf0a-5aa4-4d06-a14f-b6f6a9e68b5a}</author>
  </authors>
  <commentList>
    <comment ref="N18" authorId="0" shapeId="0" xr:uid="{AC90BCDE-5E1C-4358-872B-AC12C2795101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tax credit</t>
      </text>
    </comment>
    <comment ref="M22" authorId="1" shapeId="0" xr:uid="{72D0BF0A-5AA4-4D06-A14F-B6F6A9E68B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acquisition - TBR Global Chauffeuring</t>
      </text>
    </comment>
  </commentList>
</comments>
</file>

<file path=xl/sharedStrings.xml><?xml version="1.0" encoding="utf-8"?>
<sst xmlns="http://schemas.openxmlformats.org/spreadsheetml/2006/main" count="118" uniqueCount="107">
  <si>
    <t>Reseach:</t>
  </si>
  <si>
    <t>David Risher</t>
  </si>
  <si>
    <t>founded:</t>
  </si>
  <si>
    <t>LYFT</t>
  </si>
  <si>
    <t>headcount</t>
  </si>
  <si>
    <t xml:space="preserve">Price </t>
  </si>
  <si>
    <t>Subsidiaries:</t>
  </si>
  <si>
    <t>Lyft App</t>
  </si>
  <si>
    <t>Car &amp; Scooters</t>
  </si>
  <si>
    <t>SHARES OUT</t>
  </si>
  <si>
    <t>q4/25</t>
  </si>
  <si>
    <t>Lyft Business</t>
  </si>
  <si>
    <t>MC</t>
  </si>
  <si>
    <t>FreeNow (EU)</t>
  </si>
  <si>
    <t>(old MyTaxi)</t>
  </si>
  <si>
    <t xml:space="preserve">CASH </t>
  </si>
  <si>
    <t>FlexDrive</t>
  </si>
  <si>
    <t>Fleet Managment (AV's) / Rent a car to work for lyft</t>
  </si>
  <si>
    <t xml:space="preserve">DEBT </t>
  </si>
  <si>
    <t>Gett UK</t>
  </si>
  <si>
    <t>EV</t>
  </si>
  <si>
    <t>TBR Global Chauffeuring</t>
  </si>
  <si>
    <t>Subscriptions:</t>
  </si>
  <si>
    <t>Price Lock</t>
  </si>
  <si>
    <t>$2.99/m</t>
  </si>
  <si>
    <t>Lyft Pink (T2)</t>
  </si>
  <si>
    <t>$99/y</t>
  </si>
  <si>
    <t>Lyft All Access (T1)</t>
  </si>
  <si>
    <t>$199/y</t>
  </si>
  <si>
    <t>Net Cash</t>
  </si>
  <si>
    <t>Lyft Pass (Biz)</t>
  </si>
  <si>
    <t xml:space="preserve">FCF/EV </t>
  </si>
  <si>
    <t>EBITDA/EV</t>
  </si>
  <si>
    <t>Team Focus:</t>
  </si>
  <si>
    <t>Growing driver supply</t>
  </si>
  <si>
    <t>----------------------</t>
  </si>
  <si>
    <t xml:space="preserve">User growth </t>
  </si>
  <si>
    <t>SALES/EV</t>
  </si>
  <si>
    <t>(CEO Letter)</t>
  </si>
  <si>
    <t xml:space="preserve">Price Lock </t>
  </si>
  <si>
    <t xml:space="preserve">Increase customer satisfaction </t>
  </si>
  <si>
    <t>Extra Products:</t>
  </si>
  <si>
    <t>Women+ Connect (for women)</t>
  </si>
  <si>
    <t>NOTES:</t>
  </si>
  <si>
    <t>Lyft Silver (older folks)</t>
  </si>
  <si>
    <t>- APR 23 - Gett UK Acquisition</t>
  </si>
  <si>
    <t>- JAN 28  - Freenow/Lyft to start AV tests in Hamburg</t>
  </si>
  <si>
    <t xml:space="preserve">- NOV 10 (25)  - Curb partnership with Lyft  </t>
  </si>
  <si>
    <t xml:space="preserve"> - OCT - TBR Global Chauffeuring acquisition</t>
  </si>
  <si>
    <t>- SEP 17 - Waymo partnership to Nashville, TN in 2026</t>
  </si>
  <si>
    <t xml:space="preserve">- SEP 10 - May Mobility partnership launch in Atlanta </t>
  </si>
  <si>
    <t>- AUG 4 - Baidu partnership UK and GER 2026 (pending approval)</t>
  </si>
  <si>
    <t>- JULY 25 - Holon / Benteler (bus) partnership in the US - "at the end of 2026"</t>
  </si>
  <si>
    <t>- NOV. 6 (24) - Mobileye (Intel) partnership Dallas, "coming soon"</t>
  </si>
  <si>
    <t>- CEO is great, A+ record and vision, bezos mentee</t>
  </si>
  <si>
    <t>Q123</t>
  </si>
  <si>
    <t>Q223</t>
  </si>
  <si>
    <t>Q323</t>
  </si>
  <si>
    <t>Q423</t>
  </si>
  <si>
    <t>Q124</t>
  </si>
  <si>
    <t>Q224</t>
  </si>
  <si>
    <t xml:space="preserve">Q324 </t>
  </si>
  <si>
    <t xml:space="preserve">Q424 </t>
  </si>
  <si>
    <t xml:space="preserve">Q125 </t>
  </si>
  <si>
    <t xml:space="preserve">Q225 </t>
  </si>
  <si>
    <t>Q325</t>
  </si>
  <si>
    <t>Q425</t>
  </si>
  <si>
    <t>fy guidance</t>
  </si>
  <si>
    <t xml:space="preserve"> </t>
  </si>
  <si>
    <t>Active Riders</t>
  </si>
  <si>
    <t>Rides</t>
  </si>
  <si>
    <t>Gross Bookings</t>
  </si>
  <si>
    <t>Revenue</t>
  </si>
  <si>
    <t>AR %</t>
  </si>
  <si>
    <t>Rides %</t>
  </si>
  <si>
    <t>GB %</t>
  </si>
  <si>
    <t>Rev/GMV</t>
  </si>
  <si>
    <t>FORECAST</t>
  </si>
  <si>
    <t xml:space="preserve">Q325 </t>
  </si>
  <si>
    <t>COGS</t>
  </si>
  <si>
    <t>GP</t>
  </si>
  <si>
    <t>Operations and support</t>
  </si>
  <si>
    <t>R&amp;D</t>
  </si>
  <si>
    <t>S&amp;M</t>
  </si>
  <si>
    <t>G&amp;A</t>
  </si>
  <si>
    <t>EBIT</t>
  </si>
  <si>
    <t>Interest</t>
  </si>
  <si>
    <t>Profit before taxes</t>
  </si>
  <si>
    <t>Taxes</t>
  </si>
  <si>
    <t>Net Income</t>
  </si>
  <si>
    <t>EBITDA</t>
  </si>
  <si>
    <t>OCF</t>
  </si>
  <si>
    <t>CapEx</t>
  </si>
  <si>
    <t>FCF</t>
  </si>
  <si>
    <t>Legal reserves</t>
  </si>
  <si>
    <t>FCF (ex. legal reserves)</t>
  </si>
  <si>
    <t>FCF %</t>
  </si>
  <si>
    <t>EBIT %</t>
  </si>
  <si>
    <t>Maturity</t>
  </si>
  <si>
    <t>Discount</t>
  </si>
  <si>
    <t>NPV</t>
  </si>
  <si>
    <t>Shares Out.</t>
  </si>
  <si>
    <t>FV</t>
  </si>
  <si>
    <t>Current Price</t>
  </si>
  <si>
    <t>Upside</t>
  </si>
  <si>
    <t>Q324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</si>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</sst>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"/>
    <numFmt numFmtId="165" formatCode="&quot;$&quot;#,##0"/>
    <numFmt numFmtId="166" formatCode="_(&quot;$&quot;* #,##0.00_);_(&quot;$&quot;* \(#,##0.00\);_(&quot;$&quot;* &quot;-&quot;??_);_(@_)"/>
    <numFmt numFmtId="167" formatCode="0.0%"/>
    <numFmt numFmtId="168" formatCode="&quot;$&quot;#,##0.00"/>
    <numFmt numFmtId="169" formatCode="_-[$$-409]* #,##0.00_ ;_-[$$-409]* \-#,##0.00\ ;_-[$$-409]* &quot;-&quot;??_ ;_-@_ 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2" tint="-0.14999847407452621"/>
      </left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/>
      <right style="thin">
        <color theme="2" tint="-0.14999847407452621"/>
      </right>
      <top style="thin">
        <color theme="2" tint="-0.14999847407452621"/>
      </top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1"/>
      </right>
      <top style="thin">
        <color theme="2" tint="-0.14999847407452621"/>
      </top>
      <bottom/>
      <diagonal/>
    </border>
    <border>
      <left style="thin">
        <color theme="2" tint="-0.14999847407452621"/>
      </left>
      <right style="thin">
        <color theme="1"/>
      </right>
      <top/>
      <bottom style="thin">
        <color theme="2" tint="-0.14999847407452621"/>
      </bottom>
      <diagonal/>
    </border>
    <border>
      <left style="thin">
        <color theme="2" tint="-0.14999847407452621"/>
      </left>
      <right style="thin">
        <color theme="3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164" fontId="1" fillId="0" borderId="0" xfId="0" applyNumberFormat="1" applyFont="1"/>
    <xf numFmtId="3" fontId="1" fillId="0" borderId="1" xfId="0" applyNumberFormat="1" applyFont="1" applyBorder="1"/>
    <xf numFmtId="165" fontId="1" fillId="0" borderId="1" xfId="0" applyNumberFormat="1" applyFont="1" applyBorder="1"/>
    <xf numFmtId="0" fontId="2" fillId="2" borderId="0" xfId="0" applyFont="1" applyFill="1" applyAlignment="1">
      <alignment horizontal="left"/>
    </xf>
    <xf numFmtId="0" fontId="1" fillId="0" borderId="2" xfId="0" applyFont="1" applyBorder="1"/>
    <xf numFmtId="165" fontId="1" fillId="0" borderId="2" xfId="0" applyNumberFormat="1" applyFont="1" applyBorder="1"/>
    <xf numFmtId="0" fontId="1" fillId="0" borderId="3" xfId="0" applyFont="1" applyBorder="1"/>
    <xf numFmtId="165" fontId="1" fillId="0" borderId="0" xfId="0" applyNumberFormat="1" applyFont="1"/>
    <xf numFmtId="0" fontId="1" fillId="0" borderId="4" xfId="0" applyFont="1" applyBorder="1"/>
    <xf numFmtId="165" fontId="1" fillId="0" borderId="5" xfId="0" applyNumberFormat="1" applyFont="1" applyBorder="1"/>
    <xf numFmtId="4" fontId="1" fillId="0" borderId="5" xfId="0" applyNumberFormat="1" applyFont="1" applyBorder="1"/>
    <xf numFmtId="4" fontId="1" fillId="0" borderId="0" xfId="0" applyNumberFormat="1" applyFont="1"/>
    <xf numFmtId="4" fontId="1" fillId="0" borderId="0" xfId="0" applyNumberFormat="1" applyFont="1" applyAlignment="1">
      <alignment horizontal="left"/>
    </xf>
    <xf numFmtId="10" fontId="1" fillId="0" borderId="0" xfId="0" applyNumberFormat="1" applyFont="1"/>
    <xf numFmtId="0" fontId="3" fillId="0" borderId="0" xfId="0" applyFont="1"/>
    <xf numFmtId="0" fontId="1" fillId="0" borderId="6" xfId="0" applyFont="1" applyBorder="1"/>
    <xf numFmtId="3" fontId="1" fillId="0" borderId="0" xfId="0" applyNumberFormat="1" applyFont="1"/>
    <xf numFmtId="4" fontId="1" fillId="0" borderId="6" xfId="0" applyNumberFormat="1" applyFont="1" applyBorder="1"/>
    <xf numFmtId="3" fontId="1" fillId="0" borderId="6" xfId="0" applyNumberFormat="1" applyFont="1" applyBorder="1"/>
    <xf numFmtId="9" fontId="1" fillId="0" borderId="0" xfId="0" applyNumberFormat="1" applyFont="1"/>
    <xf numFmtId="9" fontId="1" fillId="0" borderId="6" xfId="0" applyNumberFormat="1" applyFont="1" applyBorder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0" fontId="1" fillId="0" borderId="6" xfId="0" applyNumberFormat="1" applyFont="1" applyBorder="1"/>
    <xf numFmtId="165" fontId="1" fillId="0" borderId="6" xfId="0" applyNumberFormat="1" applyFont="1" applyBorder="1"/>
    <xf numFmtId="3" fontId="4" fillId="0" borderId="7" xfId="0" applyNumberFormat="1" applyFont="1" applyBorder="1"/>
    <xf numFmtId="3" fontId="4" fillId="2" borderId="7" xfId="0" applyNumberFormat="1" applyFont="1" applyFill="1" applyBorder="1"/>
    <xf numFmtId="3" fontId="1" fillId="0" borderId="7" xfId="0" applyNumberFormat="1" applyFont="1" applyBorder="1"/>
    <xf numFmtId="3" fontId="1" fillId="2" borderId="7" xfId="0" applyNumberFormat="1" applyFont="1" applyFill="1" applyBorder="1"/>
    <xf numFmtId="0" fontId="1" fillId="2" borderId="7" xfId="0" applyFont="1" applyFill="1" applyBorder="1"/>
    <xf numFmtId="4" fontId="1" fillId="0" borderId="7" xfId="0" applyNumberFormat="1" applyFont="1" applyBorder="1"/>
    <xf numFmtId="4" fontId="1" fillId="2" borderId="7" xfId="0" applyNumberFormat="1" applyFont="1" applyFill="1" applyBorder="1"/>
    <xf numFmtId="10" fontId="1" fillId="2" borderId="7" xfId="0" applyNumberFormat="1" applyFont="1" applyFill="1" applyBorder="1"/>
    <xf numFmtId="0" fontId="0" fillId="0" borderId="7" xfId="0" applyBorder="1"/>
    <xf numFmtId="4" fontId="5" fillId="2" borderId="7" xfId="0" applyNumberFormat="1" applyFont="1" applyFill="1" applyBorder="1" applyAlignment="1">
      <alignment horizontal="right" wrapText="1"/>
    </xf>
    <xf numFmtId="9" fontId="1" fillId="0" borderId="7" xfId="0" applyNumberFormat="1" applyFont="1" applyBorder="1"/>
    <xf numFmtId="167" fontId="1" fillId="0" borderId="7" xfId="0" applyNumberFormat="1" applyFont="1" applyBorder="1"/>
    <xf numFmtId="165" fontId="1" fillId="0" borderId="7" xfId="0" applyNumberFormat="1" applyFont="1" applyBorder="1"/>
    <xf numFmtId="168" fontId="1" fillId="0" borderId="7" xfId="0" applyNumberFormat="1" applyFont="1" applyBorder="1"/>
    <xf numFmtId="10" fontId="1" fillId="0" borderId="7" xfId="0" applyNumberFormat="1" applyFont="1" applyBorder="1"/>
    <xf numFmtId="4" fontId="1" fillId="0" borderId="9" xfId="0" applyNumberFormat="1" applyFont="1" applyBorder="1"/>
    <xf numFmtId="4" fontId="1" fillId="0" borderId="10" xfId="0" applyNumberFormat="1" applyFont="1" applyBorder="1"/>
    <xf numFmtId="9" fontId="6" fillId="0" borderId="1" xfId="0" applyNumberFormat="1" applyFont="1" applyBorder="1"/>
    <xf numFmtId="0" fontId="6" fillId="0" borderId="0" xfId="0" applyFont="1"/>
    <xf numFmtId="167" fontId="6" fillId="0" borderId="1" xfId="0" applyNumberFormat="1" applyFont="1" applyBorder="1"/>
    <xf numFmtId="165" fontId="6" fillId="0" borderId="1" xfId="0" applyNumberFormat="1" applyFont="1" applyBorder="1"/>
    <xf numFmtId="3" fontId="6" fillId="0" borderId="1" xfId="0" applyNumberFormat="1" applyFont="1" applyBorder="1"/>
    <xf numFmtId="168" fontId="6" fillId="0" borderId="1" xfId="0" applyNumberFormat="1" applyFont="1" applyBorder="1"/>
    <xf numFmtId="0" fontId="6" fillId="0" borderId="1" xfId="0" applyFont="1" applyBorder="1"/>
    <xf numFmtId="4" fontId="1" fillId="3" borderId="7" xfId="0" applyNumberFormat="1" applyFont="1" applyFill="1" applyBorder="1"/>
    <xf numFmtId="3" fontId="1" fillId="0" borderId="7" xfId="0" applyNumberFormat="1" applyFont="1" applyBorder="1" applyAlignment="1">
      <alignment horizontal="left"/>
    </xf>
    <xf numFmtId="4" fontId="1" fillId="0" borderId="7" xfId="0" applyNumberFormat="1" applyFont="1" applyBorder="1" applyAlignment="1">
      <alignment horizontal="left"/>
    </xf>
    <xf numFmtId="165" fontId="1" fillId="0" borderId="7" xfId="0" applyNumberFormat="1" applyFont="1" applyBorder="1" applyAlignment="1">
      <alignment horizontal="left"/>
    </xf>
    <xf numFmtId="10" fontId="1" fillId="0" borderId="7" xfId="0" applyNumberFormat="1" applyFont="1" applyBorder="1" applyAlignment="1">
      <alignment horizontal="left"/>
    </xf>
    <xf numFmtId="0" fontId="1" fillId="0" borderId="7" xfId="0" applyFont="1" applyBorder="1" applyAlignment="1">
      <alignment horizontal="left"/>
    </xf>
    <xf numFmtId="9" fontId="1" fillId="2" borderId="7" xfId="0" applyNumberFormat="1" applyFont="1" applyFill="1" applyBorder="1"/>
    <xf numFmtId="4" fontId="1" fillId="0" borderId="8" xfId="0" applyNumberFormat="1" applyFont="1" applyBorder="1"/>
    <xf numFmtId="9" fontId="1" fillId="2" borderId="8" xfId="0" applyNumberFormat="1" applyFont="1" applyFill="1" applyBorder="1"/>
    <xf numFmtId="3" fontId="1" fillId="0" borderId="11" xfId="0" applyNumberFormat="1" applyFont="1" applyBorder="1"/>
    <xf numFmtId="9" fontId="1" fillId="2" borderId="11" xfId="0" applyNumberFormat="1" applyFont="1" applyFill="1" applyBorder="1"/>
    <xf numFmtId="4" fontId="1" fillId="0" borderId="11" xfId="0" applyNumberFormat="1" applyFont="1" applyBorder="1"/>
    <xf numFmtId="169" fontId="1" fillId="0" borderId="7" xfId="0" applyNumberFormat="1" applyFont="1" applyBorder="1" applyAlignment="1">
      <alignment horizontal="left"/>
    </xf>
    <xf numFmtId="169" fontId="1" fillId="2" borderId="7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el" id="{AC6BBD09-A69C-4206-9700-C3AA45D8A6C9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6" dT="2025-09-22T02:08:28.00" personId="{AC6BBD09-A69C-4206-9700-C3AA45D8A6C9}" id="{0D16FEC3-BC4D-4792-9F07-453489C18E84}">
    <text>goal of 15% cagr till 2027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N18" dT="2026-04-27T20:35:58.00" personId="{AC6BBD09-A69C-4206-9700-C3AA45D8A6C9}" id="{AC90BCDE-5E1C-4358-872B-AC12C2795101}">
    <text>tax credit</text>
  </threadedComment>
  <threadedComment ref="M22" dT="2026-04-27T20:24:29.00" personId="{AC6BBD09-A69C-4206-9700-C3AA45D8A6C9}" id="{72D0BF0A-5AA4-4D06-A14F-B6F6A9E68B5A}">
    <text>acquisition - TBR Global Chauffeuring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K31"/>
  <sheetViews>
    <sheetView workbookViewId="0">
      <selection activeCell="J17" sqref="J17"/>
    </sheetView>
  </sheetViews>
  <sheetFormatPr defaultColWidth="12.5703125" defaultRowHeight="15.75" customHeight="1" x14ac:dyDescent="0.2"/>
  <cols>
    <col min="1" max="1" width="40.42578125" customWidth="1"/>
    <col min="2" max="2" width="13.140625" customWidth="1"/>
    <col min="3" max="3" width="14.7109375" customWidth="1"/>
    <col min="4" max="4" width="19.7109375" customWidth="1"/>
    <col min="5" max="5" width="13.28515625" customWidth="1"/>
    <col min="9" max="9" width="14.5703125" customWidth="1"/>
  </cols>
  <sheetData>
    <row r="2" spans="1:11" x14ac:dyDescent="0.2">
      <c r="A2" s="1" t="s">
        <v>0</v>
      </c>
      <c r="C2" s="1" t="s">
        <v>106</v>
      </c>
      <c r="D2" s="1" t="s">
        <v>1</v>
      </c>
      <c r="G2" s="1" t="s">
        <v>2</v>
      </c>
      <c r="H2" s="2">
        <v>2012</v>
      </c>
      <c r="I2" s="3" t="s">
        <v>3</v>
      </c>
      <c r="J2" s="3"/>
    </row>
    <row r="3" spans="1:11" x14ac:dyDescent="0.2">
      <c r="D3" s="4"/>
      <c r="G3" s="1" t="s">
        <v>4</v>
      </c>
      <c r="H3" s="2">
        <v>2934</v>
      </c>
      <c r="I3" s="3" t="s">
        <v>5</v>
      </c>
      <c r="J3" s="3">
        <f>14.49</f>
        <v>14.49</v>
      </c>
    </row>
    <row r="4" spans="1:11" x14ac:dyDescent="0.2">
      <c r="C4" s="1" t="s">
        <v>6</v>
      </c>
      <c r="D4" s="1" t="s">
        <v>7</v>
      </c>
      <c r="E4" s="1" t="s">
        <v>8</v>
      </c>
      <c r="H4" s="2"/>
      <c r="I4" s="3" t="s">
        <v>9</v>
      </c>
      <c r="J4" s="5">
        <v>410840</v>
      </c>
      <c r="K4" s="1" t="s">
        <v>10</v>
      </c>
    </row>
    <row r="5" spans="1:11" x14ac:dyDescent="0.2">
      <c r="A5" s="1"/>
      <c r="B5" s="1"/>
      <c r="D5" s="1" t="s">
        <v>11</v>
      </c>
      <c r="I5" s="3" t="s">
        <v>12</v>
      </c>
      <c r="J5" s="6">
        <f>J3*J4</f>
        <v>5953071.5999999996</v>
      </c>
    </row>
    <row r="6" spans="1:11" x14ac:dyDescent="0.2">
      <c r="D6" s="1" t="s">
        <v>13</v>
      </c>
      <c r="E6" s="1" t="s">
        <v>14</v>
      </c>
      <c r="I6" s="3" t="s">
        <v>15</v>
      </c>
      <c r="J6" s="6">
        <v>1132000</v>
      </c>
    </row>
    <row r="7" spans="1:11" x14ac:dyDescent="0.2">
      <c r="A7" s="7"/>
      <c r="D7" s="1" t="s">
        <v>16</v>
      </c>
      <c r="E7" s="1" t="s">
        <v>17</v>
      </c>
      <c r="I7" s="3" t="s">
        <v>18</v>
      </c>
      <c r="J7" s="6">
        <v>1002400</v>
      </c>
    </row>
    <row r="8" spans="1:11" x14ac:dyDescent="0.2">
      <c r="A8" s="7"/>
      <c r="D8" s="1" t="s">
        <v>19</v>
      </c>
      <c r="I8" s="8" t="s">
        <v>20</v>
      </c>
      <c r="J8" s="9">
        <f>J5+J7-J6</f>
        <v>5823471.5999999996</v>
      </c>
    </row>
    <row r="9" spans="1:11" x14ac:dyDescent="0.2">
      <c r="D9" s="1" t="s">
        <v>21</v>
      </c>
      <c r="E9" s="1"/>
      <c r="I9" s="10"/>
      <c r="J9" s="10"/>
    </row>
    <row r="10" spans="1:11" x14ac:dyDescent="0.2">
      <c r="C10" s="1"/>
      <c r="D10" s="1"/>
      <c r="E10" s="1"/>
      <c r="I10" s="1"/>
      <c r="J10" s="11"/>
    </row>
    <row r="11" spans="1:11" x14ac:dyDescent="0.2">
      <c r="C11" s="1" t="s">
        <v>22</v>
      </c>
      <c r="D11" s="1" t="s">
        <v>23</v>
      </c>
      <c r="E11" s="1" t="s">
        <v>24</v>
      </c>
      <c r="I11" s="1"/>
      <c r="J11" s="11"/>
    </row>
    <row r="12" spans="1:11" x14ac:dyDescent="0.2">
      <c r="D12" s="1" t="s">
        <v>25</v>
      </c>
      <c r="E12" s="1" t="s">
        <v>26</v>
      </c>
    </row>
    <row r="13" spans="1:11" x14ac:dyDescent="0.2">
      <c r="D13" s="1" t="s">
        <v>27</v>
      </c>
      <c r="E13" s="1" t="s">
        <v>28</v>
      </c>
      <c r="I13" s="12" t="s">
        <v>29</v>
      </c>
      <c r="J13" s="13">
        <f>J6-J7</f>
        <v>129600</v>
      </c>
    </row>
    <row r="14" spans="1:11" x14ac:dyDescent="0.2">
      <c r="D14" s="1" t="s">
        <v>30</v>
      </c>
      <c r="I14" s="12" t="s">
        <v>31</v>
      </c>
      <c r="J14" s="14">
        <f>J8/SUM(Model!I23:L23)</f>
        <v>5.8651139087521402</v>
      </c>
    </row>
    <row r="15" spans="1:11" x14ac:dyDescent="0.2">
      <c r="I15" s="12" t="s">
        <v>32</v>
      </c>
      <c r="J15" s="14">
        <f>J8/SUM(Model!I19:L19)</f>
        <v>66.255621544132694</v>
      </c>
    </row>
    <row r="16" spans="1:11" x14ac:dyDescent="0.2">
      <c r="C16" s="1" t="s">
        <v>33</v>
      </c>
      <c r="D16" s="1" t="s">
        <v>34</v>
      </c>
      <c r="E16" s="1" t="s">
        <v>35</v>
      </c>
      <c r="F16" s="1" t="s">
        <v>36</v>
      </c>
      <c r="I16" s="12" t="s">
        <v>37</v>
      </c>
      <c r="J16" s="14">
        <f>J8/SUM(Model!I3:L3)</f>
        <v>0.95289493461915997</v>
      </c>
    </row>
    <row r="17" spans="1:10" x14ac:dyDescent="0.2">
      <c r="C17" s="1" t="s">
        <v>38</v>
      </c>
      <c r="D17" s="1" t="s">
        <v>39</v>
      </c>
      <c r="F17" s="1" t="s">
        <v>40</v>
      </c>
      <c r="J17" s="15"/>
    </row>
    <row r="19" spans="1:10" x14ac:dyDescent="0.2">
      <c r="C19" s="1" t="s">
        <v>41</v>
      </c>
      <c r="D19" s="48" t="s">
        <v>42</v>
      </c>
    </row>
    <row r="20" spans="1:10" x14ac:dyDescent="0.2">
      <c r="A20" s="1" t="s">
        <v>43</v>
      </c>
      <c r="D20" s="1" t="s">
        <v>44</v>
      </c>
    </row>
    <row r="22" spans="1:10" x14ac:dyDescent="0.2">
      <c r="A22" s="1" t="s">
        <v>45</v>
      </c>
    </row>
    <row r="23" spans="1:10" x14ac:dyDescent="0.2">
      <c r="A23" s="1" t="s">
        <v>46</v>
      </c>
    </row>
    <row r="24" spans="1:10" x14ac:dyDescent="0.2">
      <c r="A24" s="1" t="s">
        <v>47</v>
      </c>
    </row>
    <row r="25" spans="1:10" x14ac:dyDescent="0.2">
      <c r="A25" s="1" t="s">
        <v>48</v>
      </c>
    </row>
    <row r="26" spans="1:10" x14ac:dyDescent="0.2">
      <c r="A26" s="1" t="s">
        <v>49</v>
      </c>
    </row>
    <row r="27" spans="1:10" x14ac:dyDescent="0.2">
      <c r="A27" s="1" t="s">
        <v>50</v>
      </c>
    </row>
    <row r="28" spans="1:10" x14ac:dyDescent="0.2">
      <c r="A28" s="1" t="s">
        <v>51</v>
      </c>
    </row>
    <row r="29" spans="1:10" x14ac:dyDescent="0.2">
      <c r="A29" s="1" t="s">
        <v>52</v>
      </c>
    </row>
    <row r="30" spans="1:10" x14ac:dyDescent="0.2">
      <c r="A30" s="1" t="s">
        <v>53</v>
      </c>
    </row>
    <row r="31" spans="1:10" x14ac:dyDescent="0.2">
      <c r="A3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R2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31" sqref="L31"/>
    </sheetView>
  </sheetViews>
  <sheetFormatPr defaultColWidth="12.5703125" defaultRowHeight="15.75" customHeight="1" x14ac:dyDescent="0.2"/>
  <cols>
    <col min="1" max="1" width="21.140625" customWidth="1"/>
    <col min="5" max="14" width="14" bestFit="1" customWidth="1"/>
  </cols>
  <sheetData>
    <row r="2" spans="1:18" ht="12.75" x14ac:dyDescent="0.2"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/>
      <c r="P2" s="1" t="s">
        <v>67</v>
      </c>
      <c r="R2" s="1" t="s">
        <v>68</v>
      </c>
    </row>
    <row r="4" spans="1:18" ht="12.75" x14ac:dyDescent="0.2">
      <c r="A4" s="15" t="s">
        <v>69</v>
      </c>
      <c r="B4" s="15"/>
      <c r="C4" s="55">
        <v>19.600000000000001</v>
      </c>
      <c r="D4" s="55">
        <v>21.5</v>
      </c>
      <c r="E4" s="55">
        <v>22.4</v>
      </c>
      <c r="F4" s="55">
        <v>22.4</v>
      </c>
      <c r="G4" s="55">
        <v>21.9</v>
      </c>
      <c r="H4" s="55">
        <v>23.7</v>
      </c>
      <c r="I4" s="55">
        <v>24.4</v>
      </c>
      <c r="J4" s="55">
        <v>24.7</v>
      </c>
      <c r="K4" s="55">
        <v>24.2</v>
      </c>
      <c r="L4" s="55">
        <v>26.1</v>
      </c>
      <c r="M4" s="56">
        <v>28.7</v>
      </c>
      <c r="N4" s="56">
        <v>29.2</v>
      </c>
      <c r="O4" s="16"/>
      <c r="P4" s="16"/>
      <c r="Q4" s="2"/>
      <c r="R4" s="2"/>
    </row>
    <row r="5" spans="1:18" ht="12.75" x14ac:dyDescent="0.2">
      <c r="A5" s="15" t="s">
        <v>70</v>
      </c>
      <c r="B5" s="15"/>
      <c r="C5" s="55">
        <v>153</v>
      </c>
      <c r="D5" s="55">
        <v>177.9</v>
      </c>
      <c r="E5" s="55">
        <v>187.4</v>
      </c>
      <c r="F5" s="55">
        <v>190.8</v>
      </c>
      <c r="G5" s="55">
        <v>187.7</v>
      </c>
      <c r="H5" s="55">
        <v>205.3</v>
      </c>
      <c r="I5" s="55">
        <v>126.7</v>
      </c>
      <c r="J5" s="55">
        <v>218.5</v>
      </c>
      <c r="K5" s="55">
        <v>218.4</v>
      </c>
      <c r="L5" s="55">
        <v>234.8</v>
      </c>
      <c r="M5" s="56">
        <v>248.8</v>
      </c>
      <c r="N5" s="56">
        <v>243.5</v>
      </c>
      <c r="O5" s="16"/>
      <c r="P5" s="16"/>
      <c r="Q5" s="2"/>
      <c r="R5" s="2"/>
    </row>
    <row r="6" spans="1:18" ht="12.75" x14ac:dyDescent="0.2">
      <c r="A6" s="15" t="s">
        <v>71</v>
      </c>
      <c r="B6" s="15"/>
      <c r="C6" s="57">
        <v>3051</v>
      </c>
      <c r="D6" s="57">
        <v>3446</v>
      </c>
      <c r="E6" s="57">
        <v>3554</v>
      </c>
      <c r="F6" s="57">
        <v>3724</v>
      </c>
      <c r="G6" s="57">
        <v>3693</v>
      </c>
      <c r="H6" s="57">
        <v>4018.9</v>
      </c>
      <c r="I6" s="57">
        <v>4108.3999999999996</v>
      </c>
      <c r="J6" s="57">
        <v>4278.8999999999996</v>
      </c>
      <c r="K6" s="57">
        <v>4162.3999999999996</v>
      </c>
      <c r="L6" s="57">
        <v>4490.1000000000004</v>
      </c>
      <c r="M6" s="57">
        <v>4780.3999999999996</v>
      </c>
      <c r="N6" s="57">
        <v>5074.2</v>
      </c>
      <c r="O6" s="16"/>
      <c r="P6" s="16"/>
      <c r="Q6" s="2"/>
      <c r="R6" s="2"/>
    </row>
    <row r="7" spans="1:18" ht="12.75" x14ac:dyDescent="0.2">
      <c r="A7" s="15" t="s">
        <v>72</v>
      </c>
      <c r="B7" s="15"/>
      <c r="C7" s="56"/>
      <c r="D7" s="56"/>
      <c r="E7" s="66">
        <v>1157550</v>
      </c>
      <c r="F7" s="67">
        <f>12246*100</f>
        <v>1224600</v>
      </c>
      <c r="G7" s="67">
        <v>1277201</v>
      </c>
      <c r="H7" s="67">
        <v>1435846</v>
      </c>
      <c r="I7" s="67">
        <v>1522692</v>
      </c>
      <c r="J7" s="67">
        <f>15503*100</f>
        <v>1550300</v>
      </c>
      <c r="K7" s="67">
        <v>1450172</v>
      </c>
      <c r="L7" s="67">
        <v>1588183</v>
      </c>
      <c r="M7" s="67">
        <v>1685195</v>
      </c>
      <c r="N7" s="66">
        <v>1592700</v>
      </c>
      <c r="O7" s="16"/>
      <c r="P7" s="16"/>
      <c r="Q7" s="2"/>
      <c r="R7" s="2"/>
    </row>
    <row r="8" spans="1:18" ht="12.75" x14ac:dyDescent="0.2">
      <c r="A8" s="15"/>
      <c r="B8" s="15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16"/>
      <c r="P8" s="16"/>
      <c r="Q8" s="2"/>
      <c r="R8" s="2"/>
    </row>
    <row r="9" spans="1:18" ht="12.75" x14ac:dyDescent="0.2">
      <c r="A9" s="15" t="s">
        <v>73</v>
      </c>
      <c r="B9" s="15"/>
      <c r="C9" s="56"/>
      <c r="D9" s="56"/>
      <c r="E9" s="56"/>
      <c r="F9" s="56"/>
      <c r="G9" s="58">
        <f t="shared" ref="G9:N9" si="0">G4/C4-1</f>
        <v>0.11734693877550995</v>
      </c>
      <c r="H9" s="58">
        <f t="shared" si="0"/>
        <v>0.10232558139534875</v>
      </c>
      <c r="I9" s="58">
        <f t="shared" si="0"/>
        <v>8.9285714285714191E-2</v>
      </c>
      <c r="J9" s="58">
        <f t="shared" si="0"/>
        <v>0.1026785714285714</v>
      </c>
      <c r="K9" s="58">
        <f t="shared" si="0"/>
        <v>0.10502283105022836</v>
      </c>
      <c r="L9" s="58">
        <f t="shared" si="0"/>
        <v>0.10126582278481022</v>
      </c>
      <c r="M9" s="58">
        <f t="shared" si="0"/>
        <v>0.17622950819672134</v>
      </c>
      <c r="N9" s="58">
        <f t="shared" si="0"/>
        <v>0.18218623481781382</v>
      </c>
      <c r="O9" s="2"/>
      <c r="P9" s="2"/>
      <c r="Q9" s="2"/>
      <c r="R9" s="2"/>
    </row>
    <row r="10" spans="1:18" ht="12.75" x14ac:dyDescent="0.2">
      <c r="A10" s="15" t="s">
        <v>74</v>
      </c>
      <c r="C10" s="59"/>
      <c r="D10" s="59"/>
      <c r="E10" s="59"/>
      <c r="F10" s="59"/>
      <c r="G10" s="58">
        <f t="shared" ref="G10:N10" si="1">G5/C5-1</f>
        <v>0.22679738562091489</v>
      </c>
      <c r="H10" s="58">
        <f t="shared" si="1"/>
        <v>0.1540191118605958</v>
      </c>
      <c r="I10" s="58">
        <f t="shared" si="1"/>
        <v>-0.32390608324439707</v>
      </c>
      <c r="J10" s="58">
        <f t="shared" si="1"/>
        <v>0.14517819706498947</v>
      </c>
      <c r="K10" s="58">
        <f t="shared" si="1"/>
        <v>0.16355887053809282</v>
      </c>
      <c r="L10" s="58">
        <f t="shared" si="1"/>
        <v>0.14369215781782763</v>
      </c>
      <c r="M10" s="58">
        <f t="shared" si="1"/>
        <v>0.96369376479873714</v>
      </c>
      <c r="N10" s="58">
        <f t="shared" si="1"/>
        <v>0.11441647597254012</v>
      </c>
      <c r="O10" s="2"/>
      <c r="P10" s="2"/>
      <c r="Q10" s="2"/>
      <c r="R10" s="2"/>
    </row>
    <row r="11" spans="1:18" ht="12.75" x14ac:dyDescent="0.2">
      <c r="A11" s="1" t="s">
        <v>75</v>
      </c>
      <c r="C11" s="59"/>
      <c r="D11" s="59"/>
      <c r="E11" s="58"/>
      <c r="F11" s="58"/>
      <c r="G11" s="58">
        <f t="shared" ref="G11:N11" si="2">G6/C6-1</f>
        <v>0.21042281219272363</v>
      </c>
      <c r="H11" s="58">
        <f t="shared" si="2"/>
        <v>0.16625072547881614</v>
      </c>
      <c r="I11" s="58">
        <f t="shared" si="2"/>
        <v>0.15599324704558226</v>
      </c>
      <c r="J11" s="58">
        <f t="shared" si="2"/>
        <v>0.14900644468313629</v>
      </c>
      <c r="K11" s="58">
        <f t="shared" si="2"/>
        <v>0.12710533441646343</v>
      </c>
      <c r="L11" s="58">
        <f t="shared" si="2"/>
        <v>0.11724601259050993</v>
      </c>
      <c r="M11" s="58">
        <f t="shared" si="2"/>
        <v>0.16356732547950537</v>
      </c>
      <c r="N11" s="58">
        <f t="shared" si="2"/>
        <v>0.18586552618663688</v>
      </c>
      <c r="O11" s="2"/>
      <c r="P11" s="2"/>
      <c r="Q11" s="2"/>
      <c r="R11" s="2"/>
    </row>
    <row r="12" spans="1:18" ht="12.75" x14ac:dyDescent="0.2">
      <c r="A12" s="1" t="s">
        <v>76</v>
      </c>
      <c r="C12" s="59"/>
      <c r="D12" s="59"/>
      <c r="E12" s="58">
        <f t="shared" ref="E12:N12" si="3">(E7/1000)/E6</f>
        <v>0.32570343275182889</v>
      </c>
      <c r="F12" s="58">
        <f t="shared" si="3"/>
        <v>0.32883995703544572</v>
      </c>
      <c r="G12" s="58">
        <f t="shared" si="3"/>
        <v>0.34584375846195503</v>
      </c>
      <c r="H12" s="58">
        <f t="shared" si="3"/>
        <v>0.3572733832640772</v>
      </c>
      <c r="I12" s="58">
        <f t="shared" si="3"/>
        <v>0.37062895531107004</v>
      </c>
      <c r="J12" s="58">
        <f t="shared" si="3"/>
        <v>0.36231274392951462</v>
      </c>
      <c r="K12" s="58">
        <f t="shared" si="3"/>
        <v>0.34839803959254279</v>
      </c>
      <c r="L12" s="58">
        <f t="shared" si="3"/>
        <v>0.35370771252310634</v>
      </c>
      <c r="M12" s="58">
        <f t="shared" si="3"/>
        <v>0.35252175550163167</v>
      </c>
      <c r="N12" s="58">
        <f t="shared" si="3"/>
        <v>0.31388199124985222</v>
      </c>
      <c r="O12" s="2"/>
      <c r="P12" s="2"/>
      <c r="Q12" s="2"/>
      <c r="R12" s="2"/>
    </row>
    <row r="13" spans="1:18" ht="12.75" x14ac:dyDescent="0.2">
      <c r="A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2.75" x14ac:dyDescent="0.2">
      <c r="A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6" spans="1:18" ht="12.75" x14ac:dyDescent="0.2"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12.75" x14ac:dyDescent="0.2">
      <c r="A17" s="1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2.75" x14ac:dyDescent="0.2">
      <c r="A18" s="1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2.75" x14ac:dyDescent="0.2">
      <c r="A19" s="1"/>
    </row>
    <row r="20" spans="1:18" ht="12.75" x14ac:dyDescent="0.2">
      <c r="A20" s="1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2.75" x14ac:dyDescent="0.2">
      <c r="A21" s="18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2.75" x14ac:dyDescent="0.2">
      <c r="A22" s="18"/>
    </row>
    <row r="23" spans="1:18" ht="12.75" x14ac:dyDescent="0.2">
      <c r="A23" s="18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2.75" x14ac:dyDescent="0.2">
      <c r="A24" s="18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ht="12.75" x14ac:dyDescent="0.2">
      <c r="A25" s="18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039"/>
  <sheetViews>
    <sheetView tabSelected="1" zoomScaleNormal="100" workbookViewId="0">
      <pane xSplit="1" ySplit="2" topLeftCell="K6" activePane="bottomRight" state="frozen"/>
      <selection pane="topRight" activeCell="B1" sqref="B1"/>
      <selection pane="bottomLeft" activeCell="A3" sqref="A3"/>
      <selection pane="bottomRight" activeCell="F9" sqref="F9"/>
    </sheetView>
  </sheetViews>
  <sheetFormatPr defaultColWidth="12.5703125" defaultRowHeight="15.75" customHeight="1" x14ac:dyDescent="0.2"/>
  <cols>
    <col min="1" max="1" width="31" customWidth="1"/>
    <col min="10" max="11" width="13.7109375" customWidth="1"/>
  </cols>
  <sheetData>
    <row r="1" spans="1:42" x14ac:dyDescent="0.2">
      <c r="M1" s="1"/>
      <c r="N1" s="1"/>
      <c r="O1" s="1"/>
      <c r="P1" s="19" t="s">
        <v>77</v>
      </c>
    </row>
    <row r="2" spans="1:42" x14ac:dyDescent="0.2">
      <c r="B2" s="1"/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48" t="s">
        <v>105</v>
      </c>
      <c r="J2" s="1" t="s">
        <v>62</v>
      </c>
      <c r="K2" s="1" t="s">
        <v>63</v>
      </c>
      <c r="L2" s="1" t="s">
        <v>64</v>
      </c>
      <c r="M2" s="1" t="s">
        <v>78</v>
      </c>
      <c r="N2" s="1" t="s">
        <v>66</v>
      </c>
      <c r="O2" s="1">
        <v>2025</v>
      </c>
      <c r="P2" s="1">
        <v>2026</v>
      </c>
      <c r="Q2" s="1">
        <f t="shared" ref="Q2:AP2" si="0">P2+1</f>
        <v>2027</v>
      </c>
      <c r="R2" s="1">
        <f t="shared" si="0"/>
        <v>2028</v>
      </c>
      <c r="S2" s="1">
        <f t="shared" si="0"/>
        <v>2029</v>
      </c>
      <c r="T2" s="1">
        <f t="shared" si="0"/>
        <v>2030</v>
      </c>
      <c r="U2" s="1">
        <f t="shared" si="0"/>
        <v>2031</v>
      </c>
      <c r="V2" s="1">
        <f t="shared" si="0"/>
        <v>2032</v>
      </c>
      <c r="W2" s="1">
        <f t="shared" si="0"/>
        <v>2033</v>
      </c>
      <c r="X2" s="1">
        <f t="shared" si="0"/>
        <v>2034</v>
      </c>
      <c r="Y2" s="1">
        <f t="shared" si="0"/>
        <v>2035</v>
      </c>
      <c r="Z2" s="1">
        <f t="shared" si="0"/>
        <v>2036</v>
      </c>
      <c r="AA2" s="1">
        <f t="shared" si="0"/>
        <v>2037</v>
      </c>
      <c r="AB2" s="1">
        <f t="shared" si="0"/>
        <v>2038</v>
      </c>
      <c r="AC2" s="1">
        <f t="shared" si="0"/>
        <v>2039</v>
      </c>
      <c r="AD2" s="1">
        <f t="shared" si="0"/>
        <v>2040</v>
      </c>
      <c r="AE2" s="1">
        <f t="shared" si="0"/>
        <v>2041</v>
      </c>
      <c r="AF2" s="1">
        <f t="shared" si="0"/>
        <v>2042</v>
      </c>
      <c r="AG2" s="1">
        <f t="shared" si="0"/>
        <v>2043</v>
      </c>
      <c r="AH2" s="1">
        <f t="shared" si="0"/>
        <v>2044</v>
      </c>
      <c r="AI2" s="1">
        <f t="shared" si="0"/>
        <v>2045</v>
      </c>
      <c r="AJ2" s="1">
        <f t="shared" si="0"/>
        <v>2046</v>
      </c>
      <c r="AK2" s="1">
        <f t="shared" si="0"/>
        <v>2047</v>
      </c>
      <c r="AL2" s="1">
        <f t="shared" si="0"/>
        <v>2048</v>
      </c>
      <c r="AM2" s="1">
        <f t="shared" si="0"/>
        <v>2049</v>
      </c>
      <c r="AN2" s="1">
        <f t="shared" si="0"/>
        <v>2050</v>
      </c>
      <c r="AO2" s="1">
        <f t="shared" si="0"/>
        <v>2051</v>
      </c>
      <c r="AP2" s="1">
        <f t="shared" si="0"/>
        <v>2052</v>
      </c>
    </row>
    <row r="3" spans="1:42" x14ac:dyDescent="0.2">
      <c r="A3" s="36" t="s">
        <v>72</v>
      </c>
      <c r="B3" s="15"/>
      <c r="C3" s="30">
        <v>1000548</v>
      </c>
      <c r="D3" s="30">
        <v>1020906</v>
      </c>
      <c r="E3" s="30">
        <v>1157550</v>
      </c>
      <c r="F3" s="31">
        <f>12246*100</f>
        <v>1224600</v>
      </c>
      <c r="G3" s="31">
        <v>1277201</v>
      </c>
      <c r="H3" s="31">
        <v>1435846</v>
      </c>
      <c r="I3" s="31">
        <v>1522692</v>
      </c>
      <c r="J3" s="31">
        <f>15503*100</f>
        <v>1550300</v>
      </c>
      <c r="K3" s="31">
        <v>1450172</v>
      </c>
      <c r="L3" s="31">
        <v>1588183</v>
      </c>
      <c r="M3" s="31">
        <v>1685195</v>
      </c>
      <c r="N3" s="30">
        <v>1592700</v>
      </c>
      <c r="O3" s="63">
        <v>6316300</v>
      </c>
      <c r="P3" s="61">
        <f t="shared" ref="P3:Z3" si="1">O3*(1+P4)</f>
        <v>7200582.0000000009</v>
      </c>
      <c r="Q3" s="35">
        <f t="shared" si="1"/>
        <v>8064651.8400000017</v>
      </c>
      <c r="R3" s="35">
        <f t="shared" si="1"/>
        <v>9032410.0608000029</v>
      </c>
      <c r="S3" s="35">
        <f t="shared" si="1"/>
        <v>9935651.0668800045</v>
      </c>
      <c r="T3" s="35">
        <f t="shared" si="1"/>
        <v>10929216.173568007</v>
      </c>
      <c r="U3" s="35">
        <f t="shared" si="1"/>
        <v>11803553.467453448</v>
      </c>
      <c r="V3" s="35">
        <f t="shared" si="1"/>
        <v>12747837.744849725</v>
      </c>
      <c r="W3" s="35">
        <f t="shared" si="1"/>
        <v>13512708.009540709</v>
      </c>
      <c r="X3" s="35">
        <f t="shared" si="1"/>
        <v>14323470.490113152</v>
      </c>
      <c r="Y3" s="35">
        <f t="shared" si="1"/>
        <v>14896409.309717679</v>
      </c>
      <c r="Z3" s="35">
        <f t="shared" si="1"/>
        <v>15492265.682106387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</row>
    <row r="4" spans="1:42" x14ac:dyDescent="0.2">
      <c r="A4" s="36" t="s">
        <v>79</v>
      </c>
      <c r="B4" s="15"/>
      <c r="C4" s="32">
        <v>548992</v>
      </c>
      <c r="D4" s="32">
        <v>606599</v>
      </c>
      <c r="E4" s="32">
        <v>644500</v>
      </c>
      <c r="F4" s="33">
        <f>743.9*1000</f>
        <v>743900</v>
      </c>
      <c r="G4" s="33">
        <v>755362</v>
      </c>
      <c r="H4" s="33">
        <v>819518</v>
      </c>
      <c r="I4" s="33">
        <v>888255</v>
      </c>
      <c r="J4" s="33">
        <f>874.6*1000</f>
        <v>874600</v>
      </c>
      <c r="K4" s="33">
        <v>862874</v>
      </c>
      <c r="L4" s="33">
        <v>935734</v>
      </c>
      <c r="M4" s="33">
        <v>927221</v>
      </c>
      <c r="N4" s="34">
        <v>971800</v>
      </c>
      <c r="O4" s="64"/>
      <c r="P4" s="62">
        <v>0.14000000000000001</v>
      </c>
      <c r="Q4" s="60">
        <v>0.12</v>
      </c>
      <c r="R4" s="60">
        <v>0.12</v>
      </c>
      <c r="S4" s="60">
        <v>0.1</v>
      </c>
      <c r="T4" s="60">
        <v>0.1</v>
      </c>
      <c r="U4" s="60">
        <v>0.08</v>
      </c>
      <c r="V4" s="60">
        <v>0.08</v>
      </c>
      <c r="W4" s="60">
        <v>0.06</v>
      </c>
      <c r="X4" s="60">
        <v>0.06</v>
      </c>
      <c r="Y4" s="60">
        <v>0.04</v>
      </c>
      <c r="Z4" s="60">
        <v>0.04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</row>
    <row r="5" spans="1:42" x14ac:dyDescent="0.2">
      <c r="A5" s="54" t="s">
        <v>80</v>
      </c>
      <c r="B5" s="15"/>
      <c r="C5" s="33">
        <f t="shared" ref="C5:N5" si="2">C3-C4</f>
        <v>451556</v>
      </c>
      <c r="D5" s="33">
        <f t="shared" si="2"/>
        <v>414307</v>
      </c>
      <c r="E5" s="33">
        <f t="shared" si="2"/>
        <v>513050</v>
      </c>
      <c r="F5" s="33">
        <f t="shared" si="2"/>
        <v>480700</v>
      </c>
      <c r="G5" s="33">
        <f t="shared" si="2"/>
        <v>521839</v>
      </c>
      <c r="H5" s="33">
        <f t="shared" si="2"/>
        <v>616328</v>
      </c>
      <c r="I5" s="33">
        <f t="shared" si="2"/>
        <v>634437</v>
      </c>
      <c r="J5" s="33">
        <f t="shared" si="2"/>
        <v>675700</v>
      </c>
      <c r="K5" s="33">
        <f t="shared" si="2"/>
        <v>587298</v>
      </c>
      <c r="L5" s="33">
        <f t="shared" si="2"/>
        <v>652449</v>
      </c>
      <c r="M5" s="33">
        <f t="shared" si="2"/>
        <v>757974</v>
      </c>
      <c r="N5" s="33">
        <f t="shared" si="2"/>
        <v>620900</v>
      </c>
      <c r="O5" s="65"/>
      <c r="P5" s="61"/>
      <c r="Q5" s="35"/>
      <c r="R5" s="35"/>
      <c r="S5" s="35"/>
      <c r="T5" s="35"/>
      <c r="U5" s="35"/>
      <c r="V5" s="35"/>
      <c r="W5" s="35"/>
      <c r="X5" s="35"/>
      <c r="Y5" s="35"/>
      <c r="Z5" s="3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</row>
    <row r="6" spans="1:42" x14ac:dyDescent="0.2">
      <c r="A6" s="36"/>
      <c r="B6" s="15"/>
      <c r="C6" s="33"/>
      <c r="D6" s="33"/>
      <c r="E6" s="33"/>
      <c r="F6" s="33"/>
      <c r="G6" s="33"/>
      <c r="H6" s="33"/>
      <c r="I6" s="33"/>
      <c r="J6" s="33"/>
      <c r="K6" s="33"/>
      <c r="L6" s="33"/>
      <c r="M6" s="35"/>
      <c r="N6" s="35"/>
      <c r="O6" s="15"/>
      <c r="P6" s="21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</row>
    <row r="7" spans="1:42" x14ac:dyDescent="0.2">
      <c r="A7" s="36" t="s">
        <v>81</v>
      </c>
      <c r="B7" s="15"/>
      <c r="C7" s="32">
        <v>98926</v>
      </c>
      <c r="D7" s="32">
        <v>107649</v>
      </c>
      <c r="E7" s="32">
        <v>118763</v>
      </c>
      <c r="F7" s="33">
        <f>101.9*1000</f>
        <v>101900</v>
      </c>
      <c r="G7" s="33">
        <v>103042</v>
      </c>
      <c r="H7" s="33">
        <v>115734</v>
      </c>
      <c r="I7" s="33">
        <v>117462</v>
      </c>
      <c r="J7" s="33">
        <f>107.6*1000</f>
        <v>107600</v>
      </c>
      <c r="K7" s="33">
        <v>106335</v>
      </c>
      <c r="L7" s="33">
        <v>117433</v>
      </c>
      <c r="M7" s="35">
        <v>131424</v>
      </c>
      <c r="N7" s="35">
        <v>123100</v>
      </c>
      <c r="O7" s="15"/>
      <c r="P7" s="21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x14ac:dyDescent="0.2">
      <c r="A8" s="36" t="s">
        <v>82</v>
      </c>
      <c r="B8" s="15"/>
      <c r="C8" s="32">
        <v>196904</v>
      </c>
      <c r="D8" s="32">
        <v>154612</v>
      </c>
      <c r="E8" s="32">
        <v>109229</v>
      </c>
      <c r="F8" s="33">
        <f>95.2*1000</f>
        <v>95200</v>
      </c>
      <c r="G8" s="33">
        <v>100023</v>
      </c>
      <c r="H8" s="33">
        <v>98807</v>
      </c>
      <c r="I8" s="33">
        <v>104447</v>
      </c>
      <c r="J8" s="33">
        <f>93.8*1000</f>
        <v>93800</v>
      </c>
      <c r="K8" s="33">
        <v>112495</v>
      </c>
      <c r="L8" s="33">
        <v>109325</v>
      </c>
      <c r="M8" s="35">
        <v>109615</v>
      </c>
      <c r="N8" s="35">
        <v>120000</v>
      </c>
      <c r="O8" s="15"/>
      <c r="P8" s="21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</row>
    <row r="9" spans="1:42" x14ac:dyDescent="0.2">
      <c r="A9" s="36" t="s">
        <v>83</v>
      </c>
      <c r="B9" s="15"/>
      <c r="C9" s="33">
        <v>115941</v>
      </c>
      <c r="D9" s="33">
        <v>109167</v>
      </c>
      <c r="E9" s="33">
        <v>129947</v>
      </c>
      <c r="F9" s="33">
        <f>125.9*1000</f>
        <v>125900</v>
      </c>
      <c r="G9" s="33">
        <v>145472</v>
      </c>
      <c r="H9" s="33">
        <v>176370</v>
      </c>
      <c r="I9" s="33">
        <v>215779</v>
      </c>
      <c r="J9" s="33">
        <f>251.4*1000</f>
        <v>251400</v>
      </c>
      <c r="K9" s="33">
        <v>182017</v>
      </c>
      <c r="L9" s="33">
        <v>190922</v>
      </c>
      <c r="M9" s="35">
        <v>243317</v>
      </c>
      <c r="N9" s="35">
        <v>258800</v>
      </c>
      <c r="O9" s="15"/>
      <c r="P9" s="21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x14ac:dyDescent="0.2">
      <c r="A10" s="36" t="s">
        <v>84</v>
      </c>
      <c r="B10" s="15"/>
      <c r="C10" s="33">
        <v>256540</v>
      </c>
      <c r="D10" s="33">
        <v>201398</v>
      </c>
      <c r="E10" s="33">
        <v>195290</v>
      </c>
      <c r="F10" s="33">
        <f>217.9*1000</f>
        <v>217900</v>
      </c>
      <c r="G10" s="33">
        <v>236253</v>
      </c>
      <c r="H10" s="33">
        <v>252643</v>
      </c>
      <c r="I10" s="33">
        <v>253436</v>
      </c>
      <c r="J10" s="33">
        <f>195*1000</f>
        <v>195000</v>
      </c>
      <c r="K10" s="33">
        <v>215300</v>
      </c>
      <c r="L10" s="33">
        <v>232339</v>
      </c>
      <c r="M10" s="35">
        <v>250565</v>
      </c>
      <c r="N10" s="35">
        <v>303900</v>
      </c>
      <c r="O10" s="15"/>
      <c r="P10" s="21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</row>
    <row r="11" spans="1:42" x14ac:dyDescent="0.2">
      <c r="A11" s="36"/>
      <c r="B11" s="15"/>
      <c r="C11" s="32"/>
      <c r="D11" s="32"/>
      <c r="E11" s="32"/>
      <c r="F11" s="33"/>
      <c r="G11" s="33"/>
      <c r="H11" s="33"/>
      <c r="I11" s="33"/>
      <c r="J11" s="33"/>
      <c r="K11" s="33"/>
      <c r="L11" s="33"/>
      <c r="M11" s="35"/>
      <c r="N11" s="35"/>
      <c r="O11" s="4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x14ac:dyDescent="0.2">
      <c r="A12" s="54" t="s">
        <v>85</v>
      </c>
      <c r="B12" s="15"/>
      <c r="C12" s="33">
        <f t="shared" ref="C12:E12" si="3">C5-SUM(C7:C10)</f>
        <v>-216755</v>
      </c>
      <c r="D12" s="33">
        <f t="shared" si="3"/>
        <v>-158519</v>
      </c>
      <c r="E12" s="33">
        <f t="shared" si="3"/>
        <v>-40179</v>
      </c>
      <c r="F12" s="33">
        <f>-60.2*1000</f>
        <v>-60200</v>
      </c>
      <c r="G12" s="33">
        <f t="shared" ref="G12:H12" si="4">G5-SUM(G7:G10)</f>
        <v>-62951</v>
      </c>
      <c r="H12" s="33">
        <f t="shared" si="4"/>
        <v>-27226</v>
      </c>
      <c r="I12" s="33">
        <f>I5-SUM(I7:I10)</f>
        <v>-56687</v>
      </c>
      <c r="J12" s="33">
        <f>28*1000</f>
        <v>28000</v>
      </c>
      <c r="K12" s="33">
        <f>K5-SUM(K7:K10)</f>
        <v>-28849</v>
      </c>
      <c r="L12" s="33">
        <f t="shared" ref="L12" si="5">L5-SUM(L7:L10)</f>
        <v>2430</v>
      </c>
      <c r="M12" s="33">
        <f>M5-SUM(M7:M10)</f>
        <v>23053</v>
      </c>
      <c r="N12" s="33">
        <f>N5-SUM(N7:N10)</f>
        <v>-184900</v>
      </c>
      <c r="O12" s="46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</row>
    <row r="13" spans="1:42" x14ac:dyDescent="0.2">
      <c r="A13" s="54" t="s">
        <v>86</v>
      </c>
      <c r="B13" s="15"/>
      <c r="C13" s="33">
        <f t="shared" ref="C13:N13" si="6">C15-C12</f>
        <v>31782</v>
      </c>
      <c r="D13" s="33">
        <f t="shared" si="6"/>
        <v>46924</v>
      </c>
      <c r="E13" s="33">
        <f t="shared" si="6"/>
        <v>28190</v>
      </c>
      <c r="F13" s="33">
        <f t="shared" si="6"/>
        <v>37100</v>
      </c>
      <c r="G13" s="33">
        <f t="shared" si="6"/>
        <v>34009</v>
      </c>
      <c r="H13" s="33">
        <f>H15-H12</f>
        <v>34091</v>
      </c>
      <c r="I13" s="33">
        <f t="shared" si="6"/>
        <v>43579</v>
      </c>
      <c r="J13" s="33">
        <f t="shared" si="6"/>
        <v>32500</v>
      </c>
      <c r="K13" s="33">
        <f t="shared" si="6"/>
        <v>34767</v>
      </c>
      <c r="L13" s="33">
        <f t="shared" si="6"/>
        <v>41957</v>
      </c>
      <c r="M13" s="33">
        <f t="shared" si="6"/>
        <v>21062</v>
      </c>
      <c r="N13" s="33">
        <f t="shared" si="6"/>
        <v>37200</v>
      </c>
      <c r="O13" s="15"/>
      <c r="P13" s="21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x14ac:dyDescent="0.2">
      <c r="A14" s="36"/>
      <c r="B14" s="15"/>
      <c r="C14" s="32"/>
      <c r="D14" s="32"/>
      <c r="E14" s="32"/>
      <c r="F14" s="33"/>
      <c r="G14" s="33"/>
      <c r="H14" s="33"/>
      <c r="I14" s="33"/>
      <c r="J14" s="33"/>
      <c r="K14" s="33"/>
      <c r="L14" s="33"/>
      <c r="M14" s="35"/>
      <c r="N14" s="35"/>
      <c r="O14" s="15"/>
      <c r="P14" s="21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</row>
    <row r="15" spans="1:42" x14ac:dyDescent="0.2">
      <c r="A15" s="36" t="s">
        <v>87</v>
      </c>
      <c r="B15" s="15"/>
      <c r="C15" s="32">
        <v>-184973</v>
      </c>
      <c r="D15" s="32">
        <v>-111595</v>
      </c>
      <c r="E15" s="32">
        <v>-11989</v>
      </c>
      <c r="F15" s="33">
        <f>-23.1*1000</f>
        <v>-23100</v>
      </c>
      <c r="G15" s="33">
        <v>-28942</v>
      </c>
      <c r="H15" s="33">
        <v>6865</v>
      </c>
      <c r="I15" s="33">
        <v>-13108</v>
      </c>
      <c r="J15" s="33">
        <f>60.5*1000</f>
        <v>60500</v>
      </c>
      <c r="K15" s="33">
        <v>5918</v>
      </c>
      <c r="L15" s="33">
        <v>44387</v>
      </c>
      <c r="M15" s="35">
        <v>44115</v>
      </c>
      <c r="N15" s="35">
        <v>-147700</v>
      </c>
      <c r="O15" s="15"/>
      <c r="P15" s="21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x14ac:dyDescent="0.2">
      <c r="A16" s="54" t="s">
        <v>88</v>
      </c>
      <c r="B16" s="15"/>
      <c r="C16" s="33">
        <f t="shared" ref="C16:N16" si="7">C18-C15</f>
        <v>-2676</v>
      </c>
      <c r="D16" s="33">
        <f t="shared" si="7"/>
        <v>-2667</v>
      </c>
      <c r="E16" s="33">
        <f t="shared" si="7"/>
        <v>-111</v>
      </c>
      <c r="F16" s="33">
        <f t="shared" si="7"/>
        <v>-3200</v>
      </c>
      <c r="G16" s="33">
        <f t="shared" si="7"/>
        <v>-2593</v>
      </c>
      <c r="H16" s="33">
        <f t="shared" si="7"/>
        <v>-1851</v>
      </c>
      <c r="I16" s="33">
        <f t="shared" si="7"/>
        <v>682</v>
      </c>
      <c r="J16" s="33">
        <f t="shared" si="7"/>
        <v>1200</v>
      </c>
      <c r="K16" s="33">
        <f t="shared" si="7"/>
        <v>-3351</v>
      </c>
      <c r="L16" s="33">
        <f t="shared" si="7"/>
        <v>-4073</v>
      </c>
      <c r="M16" s="33">
        <f t="shared" si="7"/>
        <v>1959</v>
      </c>
      <c r="N16" s="33">
        <f t="shared" si="7"/>
        <v>2902800</v>
      </c>
      <c r="O16" s="15"/>
      <c r="P16" s="21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</row>
    <row r="17" spans="1:42" x14ac:dyDescent="0.2">
      <c r="A17" s="36"/>
      <c r="B17" s="15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5"/>
      <c r="N17" s="35"/>
      <c r="O17" s="15"/>
      <c r="P17" s="21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x14ac:dyDescent="0.2">
      <c r="A18" s="36" t="s">
        <v>89</v>
      </c>
      <c r="B18" s="15"/>
      <c r="C18" s="33">
        <v>-187649</v>
      </c>
      <c r="D18" s="33">
        <v>-114262</v>
      </c>
      <c r="E18" s="33">
        <v>-12100</v>
      </c>
      <c r="F18" s="33">
        <f>-263*100</f>
        <v>-26300</v>
      </c>
      <c r="G18" s="33">
        <v>-31535</v>
      </c>
      <c r="H18" s="33">
        <v>5014</v>
      </c>
      <c r="I18" s="33">
        <v>-12426</v>
      </c>
      <c r="J18" s="33">
        <f>617*100</f>
        <v>61700</v>
      </c>
      <c r="K18" s="33">
        <v>2567</v>
      </c>
      <c r="L18" s="33">
        <v>40314</v>
      </c>
      <c r="M18" s="32">
        <v>46074</v>
      </c>
      <c r="N18" s="32">
        <v>2755100</v>
      </c>
      <c r="O18" s="15"/>
      <c r="P18" s="21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</row>
    <row r="19" spans="1:42" x14ac:dyDescent="0.2">
      <c r="A19" s="36" t="s">
        <v>90</v>
      </c>
      <c r="B19" s="15"/>
      <c r="C19" s="33">
        <f>C12+(27.2*1000)</f>
        <v>-189555</v>
      </c>
      <c r="D19" s="33">
        <f>D12+(28.6*1000)</f>
        <v>-129919</v>
      </c>
      <c r="E19" s="33">
        <f>E12+29500</f>
        <v>-10679</v>
      </c>
      <c r="F19" s="33">
        <f>F12+31200</f>
        <v>-29000</v>
      </c>
      <c r="G19" s="33">
        <f>G12+32400</f>
        <v>-30551</v>
      </c>
      <c r="H19" s="33">
        <f>H12+37700</f>
        <v>10474</v>
      </c>
      <c r="I19" s="33">
        <f>I12+45100</f>
        <v>-11587</v>
      </c>
      <c r="J19" s="33">
        <f>J12+33700</f>
        <v>61700</v>
      </c>
      <c r="K19" s="33">
        <f>K12+33600</f>
        <v>4751</v>
      </c>
      <c r="L19" s="33">
        <f>L12+30600</f>
        <v>33030</v>
      </c>
      <c r="M19" s="33">
        <f>M12+33800</f>
        <v>56853</v>
      </c>
      <c r="N19" s="33">
        <f>N18+135200</f>
        <v>2890300</v>
      </c>
      <c r="O19" s="15"/>
      <c r="P19" s="21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x14ac:dyDescent="0.2">
      <c r="A20" s="36"/>
      <c r="B20" s="15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5"/>
      <c r="N20" s="35"/>
      <c r="O20" s="15"/>
      <c r="P20" s="21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</row>
    <row r="21" spans="1:42" x14ac:dyDescent="0.2">
      <c r="A21" s="36" t="s">
        <v>91</v>
      </c>
      <c r="B21" s="15"/>
      <c r="C21" s="33">
        <v>-74000</v>
      </c>
      <c r="D21" s="33">
        <v>-70000</v>
      </c>
      <c r="E21" s="33">
        <v>2300</v>
      </c>
      <c r="F21" s="33">
        <v>43500</v>
      </c>
      <c r="G21" s="33">
        <v>156200</v>
      </c>
      <c r="H21" s="33">
        <v>276200</v>
      </c>
      <c r="I21" s="33">
        <v>264000</v>
      </c>
      <c r="J21" s="33">
        <v>153400</v>
      </c>
      <c r="K21" s="33">
        <v>287200</v>
      </c>
      <c r="L21" s="33">
        <v>343700</v>
      </c>
      <c r="M21" s="32">
        <v>922213</v>
      </c>
      <c r="N21" s="32">
        <v>1168400</v>
      </c>
      <c r="O21" s="15"/>
      <c r="P21" s="21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x14ac:dyDescent="0.2">
      <c r="A22" s="36" t="s">
        <v>92</v>
      </c>
      <c r="B22" s="15"/>
      <c r="C22" s="33">
        <v>46800</v>
      </c>
      <c r="D22" s="33">
        <v>42200</v>
      </c>
      <c r="E22" s="33">
        <v>28600</v>
      </c>
      <c r="F22" s="33">
        <v>29100</v>
      </c>
      <c r="G22" s="33">
        <v>29100</v>
      </c>
      <c r="H22" s="33">
        <v>19800</v>
      </c>
      <c r="I22" s="33">
        <v>21200</v>
      </c>
      <c r="J22" s="33">
        <v>13400</v>
      </c>
      <c r="K22" s="33">
        <v>6500</v>
      </c>
      <c r="L22" s="33">
        <v>14300</v>
      </c>
      <c r="M22" s="32">
        <f>13400+202900</f>
        <v>216300</v>
      </c>
      <c r="N22" s="32">
        <f>18600+104400</f>
        <v>123000</v>
      </c>
      <c r="O22" s="15"/>
      <c r="P22" s="21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</row>
    <row r="23" spans="1:42" x14ac:dyDescent="0.2">
      <c r="A23" s="36" t="s">
        <v>93</v>
      </c>
      <c r="B23" s="15"/>
      <c r="C23" s="33">
        <f t="shared" ref="C23:N23" si="8">C21-C22</f>
        <v>-120800</v>
      </c>
      <c r="D23" s="33">
        <f t="shared" si="8"/>
        <v>-112200</v>
      </c>
      <c r="E23" s="33">
        <f t="shared" si="8"/>
        <v>-26300</v>
      </c>
      <c r="F23" s="33">
        <f t="shared" si="8"/>
        <v>14400</v>
      </c>
      <c r="G23" s="33">
        <f t="shared" si="8"/>
        <v>127100</v>
      </c>
      <c r="H23" s="33">
        <f t="shared" si="8"/>
        <v>256400</v>
      </c>
      <c r="I23" s="33">
        <f t="shared" si="8"/>
        <v>242800</v>
      </c>
      <c r="J23" s="33">
        <f t="shared" si="8"/>
        <v>140000</v>
      </c>
      <c r="K23" s="33">
        <f t="shared" si="8"/>
        <v>280700</v>
      </c>
      <c r="L23" s="33">
        <f t="shared" si="8"/>
        <v>329400</v>
      </c>
      <c r="M23" s="33">
        <f t="shared" si="8"/>
        <v>705913</v>
      </c>
      <c r="N23" s="33">
        <f t="shared" si="8"/>
        <v>1045400</v>
      </c>
      <c r="O23" s="15"/>
      <c r="P23" s="22">
        <f t="shared" ref="P23:Z23" si="9">P3*P27</f>
        <v>720058.20000000019</v>
      </c>
      <c r="Q23" s="20">
        <f t="shared" si="9"/>
        <v>806465.18400000024</v>
      </c>
      <c r="R23" s="20">
        <f t="shared" si="9"/>
        <v>903241.00608000031</v>
      </c>
      <c r="S23" s="20">
        <f t="shared" si="9"/>
        <v>993565.10668800049</v>
      </c>
      <c r="T23" s="20">
        <f t="shared" si="9"/>
        <v>1092921.6173568007</v>
      </c>
      <c r="U23" s="20">
        <f t="shared" si="9"/>
        <v>1180355.3467453448</v>
      </c>
      <c r="V23" s="20">
        <f t="shared" si="9"/>
        <v>1274783.7744849725</v>
      </c>
      <c r="W23" s="20">
        <f t="shared" si="9"/>
        <v>1351270.8009540709</v>
      </c>
      <c r="X23" s="20">
        <f t="shared" si="9"/>
        <v>1432347.0490113152</v>
      </c>
      <c r="Y23" s="20">
        <f t="shared" si="9"/>
        <v>1489640.930971768</v>
      </c>
      <c r="Z23" s="20">
        <f t="shared" si="9"/>
        <v>1549226.5682106388</v>
      </c>
      <c r="AA23" s="20">
        <f t="shared" ref="AA23:AP23" si="10">Z23*0.98</f>
        <v>1518242.0368464261</v>
      </c>
      <c r="AB23" s="20">
        <f t="shared" si="10"/>
        <v>1487877.1961094975</v>
      </c>
      <c r="AC23" s="20">
        <f t="shared" si="10"/>
        <v>1458119.6521873074</v>
      </c>
      <c r="AD23" s="20">
        <f t="shared" si="10"/>
        <v>1428957.2591435611</v>
      </c>
      <c r="AE23" s="20">
        <f t="shared" si="10"/>
        <v>1400378.1139606899</v>
      </c>
      <c r="AF23" s="20">
        <f t="shared" si="10"/>
        <v>1372370.5516814759</v>
      </c>
      <c r="AG23" s="20">
        <f t="shared" si="10"/>
        <v>1344923.1406478465</v>
      </c>
      <c r="AH23" s="20">
        <f t="shared" si="10"/>
        <v>1318024.6778348896</v>
      </c>
      <c r="AI23" s="20">
        <f t="shared" si="10"/>
        <v>1291664.1842781918</v>
      </c>
      <c r="AJ23" s="20">
        <f t="shared" si="10"/>
        <v>1265830.9005926279</v>
      </c>
      <c r="AK23" s="20">
        <f t="shared" si="10"/>
        <v>1240514.2825807754</v>
      </c>
      <c r="AL23" s="20">
        <f t="shared" si="10"/>
        <v>1215703.9969291599</v>
      </c>
      <c r="AM23" s="20">
        <f t="shared" si="10"/>
        <v>1191389.9169905765</v>
      </c>
      <c r="AN23" s="20">
        <f t="shared" si="10"/>
        <v>1167562.1186507649</v>
      </c>
      <c r="AO23" s="20">
        <f t="shared" si="10"/>
        <v>1144210.8762777497</v>
      </c>
      <c r="AP23" s="20">
        <f t="shared" si="10"/>
        <v>1121326.6587521946</v>
      </c>
    </row>
    <row r="24" spans="1:42" x14ac:dyDescent="0.2">
      <c r="A24" s="36" t="s">
        <v>94</v>
      </c>
      <c r="B24" s="15"/>
      <c r="C24" s="36"/>
      <c r="D24" s="36"/>
      <c r="E24" s="36"/>
      <c r="F24" s="33">
        <v>53100</v>
      </c>
      <c r="G24" s="33">
        <v>98600</v>
      </c>
      <c r="H24" s="33">
        <v>103000</v>
      </c>
      <c r="I24" s="33">
        <v>108800</v>
      </c>
      <c r="J24" s="33">
        <v>363500</v>
      </c>
      <c r="K24" s="33">
        <v>122100</v>
      </c>
      <c r="L24" s="33">
        <v>124300</v>
      </c>
      <c r="M24" s="32">
        <v>122800</v>
      </c>
      <c r="N24" s="32">
        <v>109800</v>
      </c>
      <c r="O24" s="15"/>
      <c r="P24" s="21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</row>
    <row r="25" spans="1:42" x14ac:dyDescent="0.2">
      <c r="A25" s="36" t="s">
        <v>95</v>
      </c>
      <c r="B25" s="15"/>
      <c r="C25" s="36"/>
      <c r="D25" s="36"/>
      <c r="E25" s="36"/>
      <c r="F25" s="33">
        <f t="shared" ref="F25:N25" si="11">F23-F24</f>
        <v>-38700</v>
      </c>
      <c r="G25" s="33">
        <f t="shared" si="11"/>
        <v>28500</v>
      </c>
      <c r="H25" s="33">
        <f t="shared" si="11"/>
        <v>153400</v>
      </c>
      <c r="I25" s="33">
        <f t="shared" si="11"/>
        <v>134000</v>
      </c>
      <c r="J25" s="33">
        <f t="shared" si="11"/>
        <v>-223500</v>
      </c>
      <c r="K25" s="33">
        <f t="shared" si="11"/>
        <v>158600</v>
      </c>
      <c r="L25" s="33">
        <f t="shared" si="11"/>
        <v>205100</v>
      </c>
      <c r="M25" s="33">
        <f t="shared" si="11"/>
        <v>583113</v>
      </c>
      <c r="N25" s="33">
        <f t="shared" si="11"/>
        <v>935600</v>
      </c>
      <c r="O25" s="15"/>
      <c r="P25" s="21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</row>
    <row r="26" spans="1:42" x14ac:dyDescent="0.2">
      <c r="A26" s="36"/>
      <c r="B26" s="1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5"/>
      <c r="N26" s="35"/>
      <c r="O26" s="15"/>
      <c r="P26" s="21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</row>
    <row r="27" spans="1:42" x14ac:dyDescent="0.2">
      <c r="A27" s="35" t="s">
        <v>96</v>
      </c>
      <c r="B27" s="15"/>
      <c r="C27" s="37">
        <f t="shared" ref="C27:N27" si="12">C23/C3</f>
        <v>-0.12073383785685445</v>
      </c>
      <c r="D27" s="37">
        <f t="shared" si="12"/>
        <v>-0.10990238082644239</v>
      </c>
      <c r="E27" s="37">
        <f t="shared" si="12"/>
        <v>-2.2720400846615696E-2</v>
      </c>
      <c r="F27" s="37">
        <f t="shared" si="12"/>
        <v>1.1758941695247428E-2</v>
      </c>
      <c r="G27" s="37">
        <f t="shared" si="12"/>
        <v>9.9514485190663027E-2</v>
      </c>
      <c r="H27" s="37">
        <f t="shared" si="12"/>
        <v>0.17857068237122922</v>
      </c>
      <c r="I27" s="37">
        <f t="shared" si="12"/>
        <v>0.15945443989986155</v>
      </c>
      <c r="J27" s="37">
        <f t="shared" si="12"/>
        <v>9.0305102238276466E-2</v>
      </c>
      <c r="K27" s="37">
        <f t="shared" si="12"/>
        <v>0.19356324629078481</v>
      </c>
      <c r="L27" s="37">
        <f t="shared" si="12"/>
        <v>0.20740682906189023</v>
      </c>
      <c r="M27" s="37">
        <f t="shared" si="12"/>
        <v>0.41889098887665821</v>
      </c>
      <c r="N27" s="37">
        <f t="shared" si="12"/>
        <v>0.6563696866955484</v>
      </c>
      <c r="O27" s="23"/>
      <c r="P27" s="24">
        <v>0.1</v>
      </c>
      <c r="Q27" s="23">
        <v>0.1</v>
      </c>
      <c r="R27" s="23">
        <v>0.1</v>
      </c>
      <c r="S27" s="23">
        <v>0.1</v>
      </c>
      <c r="T27" s="23">
        <v>0.1</v>
      </c>
      <c r="U27" s="23">
        <v>0.1</v>
      </c>
      <c r="V27" s="23">
        <v>0.1</v>
      </c>
      <c r="W27" s="23">
        <v>0.1</v>
      </c>
      <c r="X27" s="23">
        <v>0.1</v>
      </c>
      <c r="Y27" s="23">
        <v>0.1</v>
      </c>
      <c r="Z27" s="23">
        <v>0.1</v>
      </c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</row>
    <row r="28" spans="1:42" x14ac:dyDescent="0.2">
      <c r="A28" s="35" t="s">
        <v>97</v>
      </c>
      <c r="B28" s="15"/>
      <c r="C28" s="37">
        <f t="shared" ref="C28:N28" si="13">C12/C3</f>
        <v>-0.21663628331674242</v>
      </c>
      <c r="D28" s="37">
        <f t="shared" si="13"/>
        <v>-0.15527286547439234</v>
      </c>
      <c r="E28" s="37">
        <f t="shared" si="13"/>
        <v>-3.4710379681223272E-2</v>
      </c>
      <c r="F28" s="37">
        <f t="shared" si="13"/>
        <v>-4.9158909031520495E-2</v>
      </c>
      <c r="G28" s="37">
        <f t="shared" si="13"/>
        <v>-4.9288248286683142E-2</v>
      </c>
      <c r="H28" s="37">
        <f t="shared" si="13"/>
        <v>-1.8961643518873195E-2</v>
      </c>
      <c r="I28" s="37">
        <f t="shared" si="13"/>
        <v>-3.7228145941529872E-2</v>
      </c>
      <c r="J28" s="37">
        <f t="shared" si="13"/>
        <v>1.8061020447655292E-2</v>
      </c>
      <c r="K28" s="37">
        <f t="shared" si="13"/>
        <v>-1.9893502288004457E-2</v>
      </c>
      <c r="L28" s="37">
        <f t="shared" si="13"/>
        <v>1.5300503783254196E-3</v>
      </c>
      <c r="M28" s="37">
        <f t="shared" si="13"/>
        <v>1.3679722524692989E-2</v>
      </c>
      <c r="N28" s="37">
        <f t="shared" si="13"/>
        <v>-0.11609217052803415</v>
      </c>
      <c r="O28" s="15"/>
      <c r="P28" s="21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</row>
    <row r="29" spans="1:42" x14ac:dyDescent="0.2">
      <c r="A29" s="15"/>
      <c r="B29" s="1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5"/>
      <c r="N29" s="35"/>
      <c r="O29" s="15"/>
      <c r="P29" s="21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</row>
    <row r="30" spans="1:42" x14ac:dyDescent="0.2">
      <c r="B30" s="25"/>
      <c r="C30" s="35"/>
      <c r="D30" s="35"/>
      <c r="E30" s="35"/>
      <c r="F30" s="36"/>
      <c r="G30" s="36"/>
      <c r="H30" s="36"/>
      <c r="I30" s="36"/>
      <c r="J30" s="36"/>
      <c r="K30" s="33">
        <f t="shared" ref="K30:L30" si="14">K25*4</f>
        <v>634400</v>
      </c>
      <c r="L30" s="33">
        <f t="shared" si="14"/>
        <v>820400</v>
      </c>
      <c r="M30" s="38"/>
      <c r="N30" s="38"/>
      <c r="P30" s="19"/>
    </row>
    <row r="31" spans="1:42" x14ac:dyDescent="0.2">
      <c r="C31" s="35"/>
      <c r="D31" s="35"/>
      <c r="E31" s="35"/>
      <c r="F31" s="39"/>
      <c r="G31" s="39"/>
      <c r="H31" s="39"/>
      <c r="I31" s="39"/>
      <c r="J31" s="39"/>
      <c r="K31" s="39"/>
      <c r="L31" s="39"/>
      <c r="M31" s="40"/>
      <c r="N31" s="40"/>
      <c r="O31" s="23"/>
      <c r="P31" s="47">
        <v>-0.02</v>
      </c>
      <c r="Q31" s="48" t="s">
        <v>98</v>
      </c>
    </row>
    <row r="32" spans="1:42" x14ac:dyDescent="0.2">
      <c r="C32" s="35"/>
      <c r="D32" s="35"/>
      <c r="E32" s="35"/>
      <c r="F32" s="39"/>
      <c r="G32" s="39"/>
      <c r="H32" s="39"/>
      <c r="I32" s="39"/>
      <c r="J32" s="39"/>
      <c r="K32" s="39"/>
      <c r="L32" s="39"/>
      <c r="M32" s="41"/>
      <c r="N32" s="41"/>
      <c r="O32" s="26"/>
      <c r="P32" s="49">
        <v>0.12</v>
      </c>
      <c r="Q32" s="48" t="s">
        <v>99</v>
      </c>
    </row>
    <row r="33" spans="3:42" x14ac:dyDescent="0.2">
      <c r="C33" s="35"/>
      <c r="D33" s="35"/>
      <c r="E33" s="35"/>
      <c r="F33" s="39"/>
      <c r="G33" s="39"/>
      <c r="H33" s="39"/>
      <c r="I33" s="39"/>
      <c r="J33" s="39"/>
      <c r="K33" s="39"/>
      <c r="L33" s="39"/>
      <c r="M33" s="42"/>
      <c r="N33" s="42"/>
      <c r="O33" s="11"/>
      <c r="P33" s="50">
        <f>NPV(P32,P23:AP23)</f>
        <v>9091703.8056656271</v>
      </c>
      <c r="Q33" s="48" t="s">
        <v>100</v>
      </c>
    </row>
    <row r="34" spans="3:42" x14ac:dyDescent="0.2">
      <c r="C34" s="35"/>
      <c r="D34" s="35"/>
      <c r="E34" s="35"/>
      <c r="F34" s="39"/>
      <c r="G34" s="39"/>
      <c r="H34" s="39"/>
      <c r="I34" s="39"/>
      <c r="J34" s="39"/>
      <c r="K34" s="39"/>
      <c r="L34" s="39"/>
      <c r="M34" s="32"/>
      <c r="N34" s="32"/>
      <c r="O34" s="20"/>
      <c r="P34" s="51">
        <v>410840</v>
      </c>
      <c r="Q34" s="48" t="s">
        <v>101</v>
      </c>
    </row>
    <row r="35" spans="3:42" x14ac:dyDescent="0.2">
      <c r="C35" s="35"/>
      <c r="D35" s="35"/>
      <c r="E35" s="35"/>
      <c r="F35" s="39"/>
      <c r="G35" s="39"/>
      <c r="H35" s="39"/>
      <c r="I35" s="39"/>
      <c r="J35" s="39"/>
      <c r="K35" s="39"/>
      <c r="L35" s="39"/>
      <c r="M35" s="43"/>
      <c r="N35" s="43"/>
      <c r="O35" s="27"/>
      <c r="P35" s="52">
        <f>P33/P34</f>
        <v>22.129548743222731</v>
      </c>
      <c r="Q35" s="48" t="s">
        <v>102</v>
      </c>
    </row>
    <row r="36" spans="3:42" x14ac:dyDescent="0.2">
      <c r="C36" s="35"/>
      <c r="D36" s="35"/>
      <c r="E36" s="35"/>
      <c r="F36" s="39"/>
      <c r="G36" s="39"/>
      <c r="H36" s="39"/>
      <c r="I36" s="39"/>
      <c r="J36" s="39"/>
      <c r="K36" s="39"/>
      <c r="L36" s="39"/>
      <c r="M36" s="38"/>
      <c r="N36" s="38"/>
      <c r="P36" s="53">
        <f>Screen!J3</f>
        <v>14.49</v>
      </c>
      <c r="Q36" s="48" t="s">
        <v>103</v>
      </c>
    </row>
    <row r="37" spans="3:42" x14ac:dyDescent="0.2">
      <c r="C37" s="35"/>
      <c r="D37" s="35"/>
      <c r="E37" s="35"/>
      <c r="F37" s="39"/>
      <c r="G37" s="39"/>
      <c r="H37" s="39"/>
      <c r="I37" s="39"/>
      <c r="J37" s="39"/>
      <c r="K37" s="39"/>
      <c r="L37" s="39"/>
      <c r="M37" s="40"/>
      <c r="N37" s="40"/>
      <c r="O37" s="23"/>
      <c r="P37" s="47">
        <f>(P35-P36)/P36</f>
        <v>0.52722903679936028</v>
      </c>
      <c r="Q37" s="48" t="s">
        <v>104</v>
      </c>
      <c r="R37" s="17"/>
      <c r="S37" s="17"/>
      <c r="T37" s="17"/>
      <c r="U37" s="17"/>
      <c r="V37" s="17"/>
      <c r="W37" s="17"/>
    </row>
    <row r="38" spans="3:42" x14ac:dyDescent="0.2">
      <c r="C38" s="38"/>
      <c r="D38" s="38"/>
      <c r="E38" s="38"/>
      <c r="F38" s="39"/>
      <c r="G38" s="39"/>
      <c r="H38" s="39"/>
      <c r="I38" s="39"/>
      <c r="J38" s="39"/>
      <c r="K38" s="39"/>
      <c r="L38" s="39"/>
      <c r="M38" s="44"/>
      <c r="N38" s="44"/>
      <c r="O38" s="17"/>
      <c r="P38" s="28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</row>
    <row r="39" spans="3:42" x14ac:dyDescent="0.2">
      <c r="C39" s="38"/>
      <c r="D39" s="38"/>
      <c r="E39" s="38"/>
      <c r="F39" s="39"/>
      <c r="G39" s="39"/>
      <c r="H39" s="39"/>
      <c r="I39" s="39"/>
      <c r="J39" s="39"/>
      <c r="K39" s="39"/>
      <c r="L39" s="39"/>
      <c r="M39" s="38"/>
      <c r="N39" s="38"/>
      <c r="P39" s="19"/>
      <c r="W39" s="17"/>
    </row>
    <row r="40" spans="3:42" x14ac:dyDescent="0.2">
      <c r="C40" s="38"/>
      <c r="D40" s="38"/>
      <c r="E40" s="38"/>
      <c r="F40" s="39"/>
      <c r="G40" s="39"/>
      <c r="H40" s="39"/>
      <c r="I40" s="39"/>
      <c r="J40" s="39"/>
      <c r="K40" s="39"/>
      <c r="L40" s="39"/>
      <c r="M40" s="38"/>
      <c r="N40" s="38"/>
      <c r="P40" s="19"/>
    </row>
    <row r="41" spans="3:42" x14ac:dyDescent="0.2">
      <c r="C41" s="38"/>
      <c r="D41" s="38"/>
      <c r="E41" s="38"/>
      <c r="F41" s="39"/>
      <c r="G41" s="39"/>
      <c r="H41" s="39"/>
      <c r="I41" s="39"/>
      <c r="J41" s="39"/>
      <c r="K41" s="39"/>
      <c r="L41" s="39"/>
      <c r="M41" s="38"/>
      <c r="N41" s="38"/>
      <c r="P41" s="19"/>
    </row>
    <row r="42" spans="3:42" x14ac:dyDescent="0.2">
      <c r="C42" s="38"/>
      <c r="D42" s="38"/>
      <c r="E42" s="38"/>
      <c r="F42" s="39"/>
      <c r="G42" s="39"/>
      <c r="H42" s="39"/>
      <c r="I42" s="39"/>
      <c r="J42" s="39"/>
      <c r="K42" s="39"/>
      <c r="L42" s="39"/>
      <c r="M42" s="38"/>
      <c r="N42" s="38"/>
      <c r="P42" s="19"/>
    </row>
    <row r="43" spans="3:42" x14ac:dyDescent="0.2">
      <c r="C43" s="38"/>
      <c r="D43" s="38"/>
      <c r="E43" s="38"/>
      <c r="F43" s="39"/>
      <c r="G43" s="39"/>
      <c r="H43" s="39"/>
      <c r="I43" s="39"/>
      <c r="J43" s="39"/>
      <c r="K43" s="39"/>
      <c r="L43" s="39"/>
      <c r="M43" s="38"/>
      <c r="N43" s="38"/>
      <c r="P43" s="19"/>
    </row>
    <row r="44" spans="3:42" x14ac:dyDescent="0.2">
      <c r="C44" s="38"/>
      <c r="D44" s="38"/>
      <c r="E44" s="38"/>
      <c r="F44" s="36"/>
      <c r="G44" s="36"/>
      <c r="H44" s="36"/>
      <c r="I44" s="36"/>
      <c r="J44" s="36"/>
      <c r="K44" s="36"/>
      <c r="L44" s="36"/>
      <c r="M44" s="38"/>
      <c r="N44" s="38"/>
      <c r="P44" s="19"/>
    </row>
    <row r="45" spans="3:42" x14ac:dyDescent="0.2">
      <c r="C45" s="38"/>
      <c r="D45" s="38"/>
      <c r="E45" s="38"/>
      <c r="F45" s="36"/>
      <c r="G45" s="36"/>
      <c r="H45" s="36"/>
      <c r="I45" s="36"/>
      <c r="J45" s="36"/>
      <c r="K45" s="36"/>
      <c r="L45" s="36"/>
      <c r="M45" s="38"/>
      <c r="N45" s="38"/>
      <c r="P45" s="19"/>
    </row>
    <row r="46" spans="3:42" x14ac:dyDescent="0.2">
      <c r="C46" s="38"/>
      <c r="D46" s="38"/>
      <c r="E46" s="38"/>
      <c r="F46" s="36"/>
      <c r="G46" s="36"/>
      <c r="H46" s="36"/>
      <c r="I46" s="36"/>
      <c r="J46" s="36"/>
      <c r="K46" s="36"/>
      <c r="L46" s="36"/>
      <c r="M46" s="38"/>
      <c r="N46" s="38"/>
      <c r="P46" s="19"/>
    </row>
    <row r="47" spans="3:42" x14ac:dyDescent="0.2">
      <c r="C47" s="38"/>
      <c r="D47" s="38"/>
      <c r="E47" s="38"/>
      <c r="F47" s="36"/>
      <c r="G47" s="36"/>
      <c r="H47" s="36"/>
      <c r="I47" s="36"/>
      <c r="J47" s="36"/>
      <c r="K47" s="36"/>
      <c r="L47" s="36"/>
      <c r="M47" s="42"/>
      <c r="N47" s="42"/>
      <c r="O47" s="11"/>
      <c r="P47" s="29"/>
    </row>
    <row r="48" spans="3:42" x14ac:dyDescent="0.2">
      <c r="C48" s="38"/>
      <c r="D48" s="38"/>
      <c r="E48" s="38"/>
      <c r="F48" s="36"/>
      <c r="G48" s="36"/>
      <c r="H48" s="36"/>
      <c r="I48" s="36"/>
      <c r="J48" s="36"/>
      <c r="K48" s="36"/>
      <c r="L48" s="36"/>
      <c r="M48" s="38"/>
      <c r="N48" s="38"/>
      <c r="P48" s="19"/>
    </row>
    <row r="49" spans="3:16" x14ac:dyDescent="0.2">
      <c r="C49" s="38"/>
      <c r="D49" s="38"/>
      <c r="E49" s="38"/>
      <c r="F49" s="36"/>
      <c r="G49" s="36"/>
      <c r="H49" s="36"/>
      <c r="I49" s="36"/>
      <c r="J49" s="36"/>
      <c r="K49" s="36"/>
      <c r="L49" s="36"/>
      <c r="M49" s="42"/>
      <c r="N49" s="42"/>
      <c r="O49" s="11"/>
      <c r="P49" s="29"/>
    </row>
    <row r="50" spans="3:16" x14ac:dyDescent="0.2">
      <c r="C50" s="38"/>
      <c r="D50" s="38"/>
      <c r="E50" s="38"/>
      <c r="F50" s="36"/>
      <c r="G50" s="36"/>
      <c r="H50" s="36"/>
      <c r="I50" s="36"/>
      <c r="J50" s="36"/>
      <c r="K50" s="36"/>
      <c r="L50" s="36"/>
      <c r="M50" s="38"/>
      <c r="N50" s="38"/>
      <c r="P50" s="19"/>
    </row>
    <row r="51" spans="3:16" x14ac:dyDescent="0.2">
      <c r="C51" s="38"/>
      <c r="D51" s="38"/>
      <c r="E51" s="38"/>
      <c r="F51" s="36"/>
      <c r="G51" s="36"/>
      <c r="H51" s="36"/>
      <c r="I51" s="36"/>
      <c r="J51" s="36"/>
      <c r="K51" s="36"/>
      <c r="L51" s="36"/>
      <c r="M51" s="38"/>
      <c r="N51" s="38"/>
      <c r="P51" s="19"/>
    </row>
    <row r="52" spans="3:16" x14ac:dyDescent="0.2">
      <c r="C52" s="38"/>
      <c r="D52" s="38"/>
      <c r="E52" s="38"/>
      <c r="F52" s="36"/>
      <c r="G52" s="36"/>
      <c r="H52" s="36"/>
      <c r="I52" s="36"/>
      <c r="J52" s="36"/>
      <c r="K52" s="36"/>
      <c r="L52" s="36"/>
      <c r="M52" s="38"/>
      <c r="N52" s="38"/>
      <c r="P52" s="19"/>
    </row>
    <row r="53" spans="3:16" x14ac:dyDescent="0.2">
      <c r="C53" s="38"/>
      <c r="D53" s="38"/>
      <c r="E53" s="38"/>
      <c r="F53" s="36"/>
      <c r="G53" s="36"/>
      <c r="H53" s="36"/>
      <c r="I53" s="36"/>
      <c r="J53" s="36"/>
      <c r="K53" s="36"/>
      <c r="L53" s="36"/>
      <c r="M53" s="38"/>
      <c r="N53" s="38"/>
      <c r="P53" s="19"/>
    </row>
    <row r="54" spans="3:16" x14ac:dyDescent="0.2">
      <c r="C54" s="38"/>
      <c r="D54" s="38"/>
      <c r="E54" s="38"/>
      <c r="F54" s="36"/>
      <c r="G54" s="36"/>
      <c r="H54" s="36"/>
      <c r="I54" s="36"/>
      <c r="J54" s="36"/>
      <c r="K54" s="36"/>
      <c r="L54" s="36"/>
      <c r="M54" s="38"/>
      <c r="N54" s="38"/>
      <c r="P54" s="19"/>
    </row>
    <row r="55" spans="3:16" x14ac:dyDescent="0.2">
      <c r="C55" s="38"/>
      <c r="D55" s="38"/>
      <c r="E55" s="38"/>
      <c r="F55" s="36"/>
      <c r="G55" s="36"/>
      <c r="H55" s="36"/>
      <c r="I55" s="36"/>
      <c r="J55" s="36"/>
      <c r="K55" s="36"/>
      <c r="L55" s="36"/>
      <c r="M55" s="38"/>
      <c r="N55" s="38"/>
      <c r="P55" s="19"/>
    </row>
    <row r="56" spans="3:16" x14ac:dyDescent="0.2">
      <c r="C56" s="38"/>
      <c r="D56" s="38"/>
      <c r="E56" s="38"/>
      <c r="F56" s="36"/>
      <c r="G56" s="36"/>
      <c r="H56" s="36"/>
      <c r="I56" s="36"/>
      <c r="J56" s="36"/>
      <c r="K56" s="36"/>
      <c r="L56" s="36"/>
      <c r="M56" s="38"/>
      <c r="N56" s="38"/>
      <c r="P56" s="19"/>
    </row>
    <row r="57" spans="3:16" x14ac:dyDescent="0.2">
      <c r="C57" s="38"/>
      <c r="D57" s="38"/>
      <c r="E57" s="38"/>
      <c r="F57" s="36"/>
      <c r="G57" s="36"/>
      <c r="H57" s="36"/>
      <c r="I57" s="36"/>
      <c r="J57" s="36"/>
      <c r="K57" s="36"/>
      <c r="L57" s="36"/>
      <c r="M57" s="38"/>
      <c r="N57" s="38"/>
      <c r="P57" s="19"/>
    </row>
    <row r="58" spans="3:16" x14ac:dyDescent="0.2">
      <c r="C58" s="38"/>
      <c r="D58" s="38"/>
      <c r="E58" s="38"/>
      <c r="F58" s="36"/>
      <c r="G58" s="36"/>
      <c r="H58" s="36"/>
      <c r="I58" s="36"/>
      <c r="J58" s="36"/>
      <c r="K58" s="36"/>
      <c r="L58" s="36"/>
      <c r="M58" s="38"/>
      <c r="N58" s="38"/>
      <c r="P58" s="19"/>
    </row>
    <row r="59" spans="3:16" x14ac:dyDescent="0.2">
      <c r="C59" s="38"/>
      <c r="D59" s="38"/>
      <c r="E59" s="38"/>
      <c r="F59" s="36"/>
      <c r="G59" s="36"/>
      <c r="H59" s="36"/>
      <c r="I59" s="36"/>
      <c r="J59" s="36"/>
      <c r="K59" s="36"/>
      <c r="L59" s="36"/>
      <c r="M59" s="38"/>
      <c r="N59" s="38"/>
      <c r="P59" s="19"/>
    </row>
    <row r="60" spans="3:16" x14ac:dyDescent="0.2">
      <c r="C60" s="38"/>
      <c r="D60" s="38"/>
      <c r="E60" s="38"/>
      <c r="F60" s="36"/>
      <c r="G60" s="36"/>
      <c r="H60" s="36"/>
      <c r="I60" s="36"/>
      <c r="J60" s="36"/>
      <c r="K60" s="36"/>
      <c r="L60" s="36"/>
      <c r="M60" s="38"/>
      <c r="N60" s="38"/>
      <c r="P60" s="19"/>
    </row>
    <row r="61" spans="3:16" x14ac:dyDescent="0.2">
      <c r="C61" s="38"/>
      <c r="D61" s="38"/>
      <c r="E61" s="38"/>
      <c r="F61" s="36"/>
      <c r="G61" s="36"/>
      <c r="H61" s="36"/>
      <c r="I61" s="36"/>
      <c r="J61" s="36"/>
      <c r="K61" s="36"/>
      <c r="L61" s="36"/>
      <c r="M61" s="38"/>
      <c r="N61" s="38"/>
      <c r="P61" s="19"/>
    </row>
    <row r="62" spans="3:16" x14ac:dyDescent="0.2">
      <c r="C62" s="38"/>
      <c r="D62" s="38"/>
      <c r="E62" s="38"/>
      <c r="F62" s="36"/>
      <c r="G62" s="36"/>
      <c r="H62" s="36"/>
      <c r="I62" s="36"/>
      <c r="J62" s="36"/>
      <c r="K62" s="36"/>
      <c r="L62" s="36"/>
      <c r="M62" s="38"/>
      <c r="N62" s="38"/>
      <c r="P62" s="19"/>
    </row>
    <row r="63" spans="3:16" x14ac:dyDescent="0.2">
      <c r="C63" s="38"/>
      <c r="D63" s="38"/>
      <c r="E63" s="38"/>
      <c r="F63" s="36"/>
      <c r="G63" s="36"/>
      <c r="H63" s="36"/>
      <c r="I63" s="36"/>
      <c r="J63" s="36"/>
      <c r="K63" s="36"/>
      <c r="L63" s="36"/>
      <c r="M63" s="38"/>
      <c r="N63" s="38"/>
      <c r="P63" s="19"/>
    </row>
    <row r="64" spans="3:16" x14ac:dyDescent="0.2">
      <c r="C64" s="38"/>
      <c r="D64" s="38"/>
      <c r="E64" s="38"/>
      <c r="F64" s="36"/>
      <c r="G64" s="36"/>
      <c r="H64" s="36"/>
      <c r="I64" s="36"/>
      <c r="J64" s="36"/>
      <c r="K64" s="36"/>
      <c r="L64" s="36"/>
      <c r="M64" s="38"/>
      <c r="N64" s="38"/>
      <c r="P64" s="19"/>
    </row>
    <row r="65" spans="3:16" x14ac:dyDescent="0.2">
      <c r="C65" s="38"/>
      <c r="D65" s="38"/>
      <c r="E65" s="38"/>
      <c r="F65" s="36"/>
      <c r="G65" s="36"/>
      <c r="H65" s="36"/>
      <c r="I65" s="36"/>
      <c r="J65" s="36"/>
      <c r="K65" s="36"/>
      <c r="L65" s="36"/>
      <c r="M65" s="38"/>
      <c r="N65" s="38"/>
      <c r="P65" s="19"/>
    </row>
    <row r="66" spans="3:16" x14ac:dyDescent="0.2">
      <c r="C66" s="38"/>
      <c r="D66" s="38"/>
      <c r="E66" s="38"/>
      <c r="F66" s="36"/>
      <c r="G66" s="36"/>
      <c r="H66" s="36"/>
      <c r="I66" s="36"/>
      <c r="J66" s="36"/>
      <c r="K66" s="36"/>
      <c r="L66" s="36"/>
      <c r="M66" s="38"/>
      <c r="N66" s="38"/>
      <c r="P66" s="19"/>
    </row>
    <row r="67" spans="3:16" x14ac:dyDescent="0.2">
      <c r="C67" s="38"/>
      <c r="D67" s="38"/>
      <c r="E67" s="38"/>
      <c r="F67" s="36"/>
      <c r="G67" s="36"/>
      <c r="H67" s="36"/>
      <c r="I67" s="36"/>
      <c r="J67" s="36"/>
      <c r="K67" s="36"/>
      <c r="L67" s="36"/>
      <c r="M67" s="38"/>
      <c r="N67" s="38"/>
      <c r="P67" s="19"/>
    </row>
    <row r="68" spans="3:16" x14ac:dyDescent="0.2">
      <c r="C68" s="38"/>
      <c r="D68" s="38"/>
      <c r="E68" s="38"/>
      <c r="F68" s="36"/>
      <c r="G68" s="36"/>
      <c r="H68" s="36"/>
      <c r="I68" s="36"/>
      <c r="J68" s="36"/>
      <c r="K68" s="36"/>
      <c r="L68" s="36"/>
      <c r="M68" s="38"/>
      <c r="N68" s="38"/>
      <c r="P68" s="19"/>
    </row>
    <row r="69" spans="3:16" x14ac:dyDescent="0.2">
      <c r="C69" s="38"/>
      <c r="D69" s="38"/>
      <c r="E69" s="38"/>
      <c r="F69" s="36"/>
      <c r="G69" s="36"/>
      <c r="H69" s="36"/>
      <c r="I69" s="36"/>
      <c r="J69" s="36"/>
      <c r="K69" s="36"/>
      <c r="L69" s="36"/>
      <c r="M69" s="38"/>
      <c r="N69" s="38"/>
      <c r="P69" s="19"/>
    </row>
    <row r="70" spans="3:16" x14ac:dyDescent="0.2">
      <c r="C70" s="38"/>
      <c r="D70" s="38"/>
      <c r="E70" s="38"/>
      <c r="F70" s="36"/>
      <c r="G70" s="36"/>
      <c r="H70" s="36"/>
      <c r="I70" s="36"/>
      <c r="J70" s="36"/>
      <c r="K70" s="36"/>
      <c r="L70" s="36"/>
      <c r="M70" s="38"/>
      <c r="N70" s="38"/>
      <c r="P70" s="19"/>
    </row>
    <row r="71" spans="3:16" x14ac:dyDescent="0.2">
      <c r="C71" s="38"/>
      <c r="D71" s="38"/>
      <c r="E71" s="38"/>
      <c r="F71" s="36"/>
      <c r="G71" s="36"/>
      <c r="H71" s="36"/>
      <c r="I71" s="36"/>
      <c r="J71" s="36"/>
      <c r="K71" s="36"/>
      <c r="L71" s="36"/>
      <c r="M71" s="38"/>
      <c r="N71" s="38"/>
      <c r="P71" s="19"/>
    </row>
    <row r="72" spans="3:16" x14ac:dyDescent="0.2">
      <c r="C72" s="38"/>
      <c r="D72" s="38"/>
      <c r="E72" s="38"/>
      <c r="F72" s="36"/>
      <c r="G72" s="36"/>
      <c r="H72" s="36"/>
      <c r="I72" s="36"/>
      <c r="J72" s="36"/>
      <c r="K72" s="36"/>
      <c r="L72" s="36"/>
      <c r="M72" s="38"/>
      <c r="N72" s="38"/>
      <c r="P72" s="19"/>
    </row>
    <row r="73" spans="3:16" x14ac:dyDescent="0.2">
      <c r="C73" s="38"/>
      <c r="D73" s="38"/>
      <c r="E73" s="38"/>
      <c r="F73" s="36"/>
      <c r="G73" s="36"/>
      <c r="H73" s="36"/>
      <c r="I73" s="36"/>
      <c r="J73" s="36"/>
      <c r="K73" s="36"/>
      <c r="L73" s="36"/>
      <c r="M73" s="38"/>
      <c r="N73" s="38"/>
      <c r="P73" s="19"/>
    </row>
    <row r="74" spans="3:16" x14ac:dyDescent="0.2">
      <c r="C74" s="38"/>
      <c r="D74" s="38"/>
      <c r="E74" s="38"/>
      <c r="F74" s="36"/>
      <c r="G74" s="36"/>
      <c r="H74" s="36"/>
      <c r="I74" s="36"/>
      <c r="J74" s="36"/>
      <c r="K74" s="36"/>
      <c r="L74" s="36"/>
      <c r="M74" s="38"/>
      <c r="N74" s="38"/>
      <c r="P74" s="19"/>
    </row>
    <row r="75" spans="3:16" x14ac:dyDescent="0.2">
      <c r="C75" s="38"/>
      <c r="D75" s="38"/>
      <c r="E75" s="38"/>
      <c r="F75" s="36"/>
      <c r="G75" s="36"/>
      <c r="H75" s="36"/>
      <c r="I75" s="36"/>
      <c r="J75" s="36"/>
      <c r="K75" s="36"/>
      <c r="L75" s="36"/>
      <c r="M75" s="38"/>
      <c r="N75" s="38"/>
      <c r="P75" s="19"/>
    </row>
    <row r="76" spans="3:16" x14ac:dyDescent="0.2">
      <c r="C76" s="38"/>
      <c r="D76" s="38"/>
      <c r="E76" s="38"/>
      <c r="F76" s="36"/>
      <c r="G76" s="36"/>
      <c r="H76" s="36"/>
      <c r="I76" s="36"/>
      <c r="J76" s="36"/>
      <c r="K76" s="36"/>
      <c r="L76" s="36"/>
      <c r="M76" s="38"/>
      <c r="N76" s="38"/>
      <c r="P76" s="19"/>
    </row>
    <row r="77" spans="3:16" x14ac:dyDescent="0.2">
      <c r="C77" s="38"/>
      <c r="D77" s="38"/>
      <c r="E77" s="38"/>
      <c r="F77" s="36"/>
      <c r="G77" s="36"/>
      <c r="H77" s="36"/>
      <c r="I77" s="36"/>
      <c r="J77" s="36"/>
      <c r="K77" s="36"/>
      <c r="L77" s="36"/>
      <c r="M77" s="38"/>
      <c r="N77" s="38"/>
      <c r="P77" s="19"/>
    </row>
    <row r="78" spans="3:16" x14ac:dyDescent="0.2">
      <c r="C78" s="38"/>
      <c r="D78" s="38"/>
      <c r="E78" s="38"/>
      <c r="F78" s="36"/>
      <c r="G78" s="36"/>
      <c r="H78" s="36"/>
      <c r="I78" s="36"/>
      <c r="J78" s="36"/>
      <c r="K78" s="36"/>
      <c r="L78" s="36"/>
      <c r="M78" s="38"/>
      <c r="N78" s="38"/>
      <c r="P78" s="19"/>
    </row>
    <row r="79" spans="3:16" x14ac:dyDescent="0.2">
      <c r="C79" s="38"/>
      <c r="D79" s="38"/>
      <c r="E79" s="38"/>
      <c r="F79" s="36"/>
      <c r="G79" s="36"/>
      <c r="H79" s="36"/>
      <c r="I79" s="36"/>
      <c r="J79" s="36"/>
      <c r="K79" s="36"/>
      <c r="L79" s="36"/>
      <c r="M79" s="38"/>
      <c r="N79" s="38"/>
      <c r="P79" s="19"/>
    </row>
    <row r="80" spans="3:16" x14ac:dyDescent="0.2">
      <c r="C80" s="38"/>
      <c r="D80" s="38"/>
      <c r="E80" s="38"/>
      <c r="F80" s="36"/>
      <c r="G80" s="36"/>
      <c r="H80" s="36"/>
      <c r="I80" s="36"/>
      <c r="J80" s="36"/>
      <c r="K80" s="36"/>
      <c r="L80" s="36"/>
      <c r="M80" s="38"/>
      <c r="N80" s="38"/>
      <c r="P80" s="19"/>
    </row>
    <row r="81" spans="3:16" x14ac:dyDescent="0.2">
      <c r="C81" s="38"/>
      <c r="D81" s="38"/>
      <c r="E81" s="38"/>
      <c r="F81" s="36"/>
      <c r="G81" s="36"/>
      <c r="H81" s="36"/>
      <c r="I81" s="36"/>
      <c r="J81" s="36"/>
      <c r="K81" s="36"/>
      <c r="L81" s="36"/>
      <c r="M81" s="38"/>
      <c r="N81" s="38"/>
      <c r="P81" s="19"/>
    </row>
    <row r="82" spans="3:16" x14ac:dyDescent="0.2">
      <c r="C82" s="38"/>
      <c r="D82" s="38"/>
      <c r="E82" s="38"/>
      <c r="F82" s="36"/>
      <c r="G82" s="36"/>
      <c r="H82" s="36"/>
      <c r="I82" s="36"/>
      <c r="J82" s="36"/>
      <c r="K82" s="36"/>
      <c r="L82" s="36"/>
      <c r="M82" s="38"/>
      <c r="N82" s="38"/>
      <c r="P82" s="19"/>
    </row>
    <row r="83" spans="3:16" x14ac:dyDescent="0.2">
      <c r="C83" s="38"/>
      <c r="D83" s="38"/>
      <c r="E83" s="38"/>
      <c r="F83" s="36"/>
      <c r="G83" s="36"/>
      <c r="H83" s="36"/>
      <c r="I83" s="36"/>
      <c r="J83" s="36"/>
      <c r="K83" s="36"/>
      <c r="L83" s="36"/>
      <c r="M83" s="38"/>
      <c r="N83" s="38"/>
      <c r="P83" s="19"/>
    </row>
    <row r="84" spans="3:16" x14ac:dyDescent="0.2">
      <c r="C84" s="38"/>
      <c r="D84" s="38"/>
      <c r="E84" s="38"/>
      <c r="F84" s="36"/>
      <c r="G84" s="36"/>
      <c r="H84" s="36"/>
      <c r="I84" s="36"/>
      <c r="J84" s="36"/>
      <c r="K84" s="36"/>
      <c r="L84" s="36"/>
      <c r="M84" s="38"/>
      <c r="N84" s="38"/>
      <c r="P84" s="19"/>
    </row>
    <row r="85" spans="3:16" x14ac:dyDescent="0.2">
      <c r="C85" s="38"/>
      <c r="D85" s="38"/>
      <c r="E85" s="38"/>
      <c r="F85" s="36"/>
      <c r="G85" s="36"/>
      <c r="H85" s="36"/>
      <c r="I85" s="36"/>
      <c r="J85" s="36"/>
      <c r="K85" s="36"/>
      <c r="L85" s="36"/>
      <c r="M85" s="38"/>
      <c r="N85" s="38"/>
      <c r="P85" s="19"/>
    </row>
    <row r="86" spans="3:16" x14ac:dyDescent="0.2">
      <c r="C86" s="38"/>
      <c r="D86" s="38"/>
      <c r="E86" s="38"/>
      <c r="F86" s="36"/>
      <c r="G86" s="36"/>
      <c r="H86" s="36"/>
      <c r="I86" s="36"/>
      <c r="J86" s="36"/>
      <c r="K86" s="36"/>
      <c r="L86" s="36"/>
      <c r="M86" s="38"/>
      <c r="N86" s="38"/>
      <c r="P86" s="19"/>
    </row>
    <row r="87" spans="3:16" x14ac:dyDescent="0.2">
      <c r="C87" s="38"/>
      <c r="D87" s="38"/>
      <c r="E87" s="38"/>
      <c r="F87" s="36"/>
      <c r="G87" s="36"/>
      <c r="H87" s="36"/>
      <c r="I87" s="36"/>
      <c r="J87" s="36"/>
      <c r="K87" s="36"/>
      <c r="L87" s="36"/>
      <c r="M87" s="38"/>
      <c r="N87" s="38"/>
      <c r="P87" s="19"/>
    </row>
    <row r="88" spans="3:16" x14ac:dyDescent="0.2">
      <c r="C88" s="38"/>
      <c r="D88" s="38"/>
      <c r="E88" s="38"/>
      <c r="F88" s="36"/>
      <c r="G88" s="36"/>
      <c r="H88" s="36"/>
      <c r="I88" s="36"/>
      <c r="J88" s="36"/>
      <c r="K88" s="36"/>
      <c r="L88" s="36"/>
      <c r="M88" s="38"/>
      <c r="N88" s="38"/>
      <c r="P88" s="19"/>
    </row>
    <row r="89" spans="3:16" x14ac:dyDescent="0.2">
      <c r="C89" s="38"/>
      <c r="D89" s="38"/>
      <c r="E89" s="38"/>
      <c r="F89" s="36"/>
      <c r="G89" s="36"/>
      <c r="H89" s="36"/>
      <c r="I89" s="36"/>
      <c r="J89" s="36"/>
      <c r="K89" s="36"/>
      <c r="L89" s="36"/>
      <c r="M89" s="38"/>
      <c r="N89" s="38"/>
      <c r="P89" s="19"/>
    </row>
    <row r="90" spans="3:16" x14ac:dyDescent="0.2">
      <c r="C90" s="38"/>
      <c r="D90" s="38"/>
      <c r="E90" s="38"/>
      <c r="F90" s="36"/>
      <c r="G90" s="36"/>
      <c r="H90" s="36"/>
      <c r="I90" s="36"/>
      <c r="J90" s="36"/>
      <c r="K90" s="36"/>
      <c r="L90" s="36"/>
      <c r="M90" s="38"/>
      <c r="N90" s="38"/>
      <c r="P90" s="19"/>
    </row>
    <row r="91" spans="3:16" x14ac:dyDescent="0.2">
      <c r="C91" s="38"/>
      <c r="D91" s="38"/>
      <c r="E91" s="38"/>
      <c r="F91" s="36"/>
      <c r="G91" s="36"/>
      <c r="H91" s="36"/>
      <c r="I91" s="36"/>
      <c r="J91" s="36"/>
      <c r="K91" s="36"/>
      <c r="L91" s="36"/>
      <c r="M91" s="38"/>
      <c r="N91" s="38"/>
      <c r="P91" s="19"/>
    </row>
    <row r="92" spans="3:16" x14ac:dyDescent="0.2">
      <c r="C92" s="38"/>
      <c r="D92" s="38"/>
      <c r="E92" s="38"/>
      <c r="F92" s="36"/>
      <c r="G92" s="36"/>
      <c r="H92" s="36"/>
      <c r="I92" s="36"/>
      <c r="J92" s="36"/>
      <c r="K92" s="36"/>
      <c r="L92" s="36"/>
      <c r="M92" s="38"/>
      <c r="N92" s="38"/>
      <c r="P92" s="19"/>
    </row>
    <row r="93" spans="3:16" x14ac:dyDescent="0.2">
      <c r="C93" s="38"/>
      <c r="D93" s="38"/>
      <c r="E93" s="38"/>
      <c r="F93" s="36"/>
      <c r="G93" s="36"/>
      <c r="H93" s="36"/>
      <c r="I93" s="36"/>
      <c r="J93" s="36"/>
      <c r="K93" s="36"/>
      <c r="L93" s="36"/>
      <c r="M93" s="38"/>
      <c r="N93" s="38"/>
      <c r="P93" s="19"/>
    </row>
    <row r="94" spans="3:16" x14ac:dyDescent="0.2">
      <c r="C94" s="38"/>
      <c r="D94" s="38"/>
      <c r="E94" s="38"/>
      <c r="F94" s="36"/>
      <c r="G94" s="36"/>
      <c r="H94" s="36"/>
      <c r="I94" s="36"/>
      <c r="J94" s="36"/>
      <c r="K94" s="36"/>
      <c r="L94" s="36"/>
      <c r="M94" s="38"/>
      <c r="N94" s="38"/>
      <c r="P94" s="19"/>
    </row>
    <row r="95" spans="3:16" x14ac:dyDescent="0.2">
      <c r="C95" s="38"/>
      <c r="D95" s="38"/>
      <c r="E95" s="38"/>
      <c r="F95" s="36"/>
      <c r="G95" s="36"/>
      <c r="H95" s="36"/>
      <c r="I95" s="36"/>
      <c r="J95" s="36"/>
      <c r="K95" s="36"/>
      <c r="L95" s="36"/>
      <c r="M95" s="38"/>
      <c r="N95" s="38"/>
      <c r="P95" s="19"/>
    </row>
    <row r="96" spans="3:16" x14ac:dyDescent="0.2">
      <c r="C96" s="38"/>
      <c r="D96" s="38"/>
      <c r="E96" s="38"/>
      <c r="F96" s="36"/>
      <c r="G96" s="36"/>
      <c r="H96" s="36"/>
      <c r="I96" s="36"/>
      <c r="J96" s="36"/>
      <c r="K96" s="36"/>
      <c r="L96" s="36"/>
      <c r="M96" s="38"/>
      <c r="N96" s="38"/>
      <c r="P96" s="19"/>
    </row>
    <row r="97" spans="3:16" x14ac:dyDescent="0.2">
      <c r="C97" s="38"/>
      <c r="D97" s="38"/>
      <c r="E97" s="38"/>
      <c r="F97" s="36"/>
      <c r="G97" s="36"/>
      <c r="H97" s="36"/>
      <c r="I97" s="36"/>
      <c r="J97" s="36"/>
      <c r="K97" s="36"/>
      <c r="L97" s="36"/>
      <c r="M97" s="38"/>
      <c r="N97" s="38"/>
      <c r="P97" s="19"/>
    </row>
    <row r="98" spans="3:16" x14ac:dyDescent="0.2">
      <c r="C98" s="38"/>
      <c r="D98" s="38"/>
      <c r="E98" s="38"/>
      <c r="F98" s="36"/>
      <c r="G98" s="36"/>
      <c r="H98" s="36"/>
      <c r="I98" s="36"/>
      <c r="J98" s="36"/>
      <c r="K98" s="36"/>
      <c r="L98" s="36"/>
      <c r="M98" s="38"/>
      <c r="N98" s="38"/>
      <c r="P98" s="19"/>
    </row>
    <row r="99" spans="3:16" x14ac:dyDescent="0.2">
      <c r="C99" s="38"/>
      <c r="D99" s="38"/>
      <c r="E99" s="38"/>
      <c r="F99" s="36"/>
      <c r="G99" s="36"/>
      <c r="H99" s="36"/>
      <c r="I99" s="36"/>
      <c r="J99" s="36"/>
      <c r="K99" s="36"/>
      <c r="L99" s="36"/>
      <c r="M99" s="38"/>
      <c r="N99" s="38"/>
      <c r="P99" s="19"/>
    </row>
    <row r="100" spans="3:16" x14ac:dyDescent="0.2">
      <c r="C100" s="38"/>
      <c r="D100" s="38"/>
      <c r="E100" s="38"/>
      <c r="F100" s="36"/>
      <c r="G100" s="36"/>
      <c r="H100" s="36"/>
      <c r="I100" s="36"/>
      <c r="J100" s="36"/>
      <c r="K100" s="36"/>
      <c r="L100" s="36"/>
      <c r="M100" s="38"/>
      <c r="N100" s="38"/>
      <c r="P100" s="19"/>
    </row>
    <row r="101" spans="3:16" x14ac:dyDescent="0.2">
      <c r="C101" s="38"/>
      <c r="D101" s="38"/>
      <c r="E101" s="38"/>
      <c r="F101" s="36"/>
      <c r="G101" s="36"/>
      <c r="H101" s="36"/>
      <c r="I101" s="36"/>
      <c r="J101" s="36"/>
      <c r="K101" s="36"/>
      <c r="L101" s="36"/>
      <c r="M101" s="38"/>
      <c r="N101" s="38"/>
      <c r="P101" s="19"/>
    </row>
    <row r="102" spans="3:16" x14ac:dyDescent="0.2">
      <c r="C102" s="38"/>
      <c r="D102" s="38"/>
      <c r="E102" s="38"/>
      <c r="F102" s="36"/>
      <c r="G102" s="36"/>
      <c r="H102" s="36"/>
      <c r="I102" s="36"/>
      <c r="J102" s="36"/>
      <c r="K102" s="36"/>
      <c r="L102" s="36"/>
      <c r="M102" s="38"/>
      <c r="N102" s="38"/>
      <c r="P102" s="19"/>
    </row>
    <row r="103" spans="3:16" x14ac:dyDescent="0.2">
      <c r="C103" s="38"/>
      <c r="D103" s="38"/>
      <c r="E103" s="38"/>
      <c r="F103" s="36"/>
      <c r="G103" s="36"/>
      <c r="H103" s="36"/>
      <c r="I103" s="36"/>
      <c r="J103" s="36"/>
      <c r="K103" s="36"/>
      <c r="L103" s="36"/>
      <c r="M103" s="38"/>
      <c r="N103" s="38"/>
      <c r="P103" s="19"/>
    </row>
    <row r="104" spans="3:16" x14ac:dyDescent="0.2">
      <c r="C104" s="38"/>
      <c r="D104" s="38"/>
      <c r="E104" s="38"/>
      <c r="F104" s="36"/>
      <c r="G104" s="36"/>
      <c r="H104" s="36"/>
      <c r="I104" s="36"/>
      <c r="J104" s="36"/>
      <c r="K104" s="36"/>
      <c r="L104" s="36"/>
      <c r="M104" s="38"/>
      <c r="N104" s="38"/>
      <c r="P104" s="19"/>
    </row>
    <row r="105" spans="3:16" x14ac:dyDescent="0.2">
      <c r="C105" s="38"/>
      <c r="D105" s="38"/>
      <c r="E105" s="38"/>
      <c r="F105" s="36"/>
      <c r="G105" s="36"/>
      <c r="H105" s="36"/>
      <c r="I105" s="36"/>
      <c r="J105" s="36"/>
      <c r="K105" s="36"/>
      <c r="L105" s="36"/>
      <c r="M105" s="38"/>
      <c r="N105" s="38"/>
      <c r="P105" s="19"/>
    </row>
    <row r="106" spans="3:16" x14ac:dyDescent="0.2">
      <c r="C106" s="38"/>
      <c r="D106" s="38"/>
      <c r="E106" s="38"/>
      <c r="F106" s="36"/>
      <c r="G106" s="36"/>
      <c r="H106" s="36"/>
      <c r="I106" s="36"/>
      <c r="J106" s="36"/>
      <c r="K106" s="36"/>
      <c r="L106" s="36"/>
      <c r="M106" s="38"/>
      <c r="N106" s="38"/>
      <c r="P106" s="19"/>
    </row>
    <row r="107" spans="3:16" x14ac:dyDescent="0.2">
      <c r="C107" s="38"/>
      <c r="D107" s="38"/>
      <c r="E107" s="38"/>
      <c r="F107" s="36"/>
      <c r="G107" s="36"/>
      <c r="H107" s="36"/>
      <c r="I107" s="36"/>
      <c r="J107" s="36"/>
      <c r="K107" s="36"/>
      <c r="L107" s="36"/>
      <c r="M107" s="38"/>
      <c r="N107" s="38"/>
      <c r="P107" s="19"/>
    </row>
    <row r="108" spans="3:16" x14ac:dyDescent="0.2">
      <c r="C108" s="38"/>
      <c r="D108" s="38"/>
      <c r="E108" s="38"/>
      <c r="F108" s="36"/>
      <c r="G108" s="36"/>
      <c r="H108" s="36"/>
      <c r="I108" s="36"/>
      <c r="J108" s="36"/>
      <c r="K108" s="36"/>
      <c r="L108" s="36"/>
      <c r="M108" s="38"/>
      <c r="N108" s="38"/>
      <c r="P108" s="19"/>
    </row>
    <row r="109" spans="3:16" x14ac:dyDescent="0.2">
      <c r="C109" s="38"/>
      <c r="D109" s="38"/>
      <c r="E109" s="38"/>
      <c r="F109" s="36"/>
      <c r="G109" s="36"/>
      <c r="H109" s="36"/>
      <c r="I109" s="36"/>
      <c r="J109" s="36"/>
      <c r="K109" s="36"/>
      <c r="L109" s="36"/>
      <c r="M109" s="38"/>
      <c r="N109" s="38"/>
      <c r="P109" s="19"/>
    </row>
    <row r="110" spans="3:16" x14ac:dyDescent="0.2">
      <c r="C110" s="38"/>
      <c r="D110" s="38"/>
      <c r="E110" s="38"/>
      <c r="F110" s="36"/>
      <c r="G110" s="36"/>
      <c r="H110" s="36"/>
      <c r="I110" s="36"/>
      <c r="J110" s="36"/>
      <c r="K110" s="36"/>
      <c r="L110" s="36"/>
      <c r="M110" s="38"/>
      <c r="N110" s="38"/>
      <c r="P110" s="19"/>
    </row>
    <row r="111" spans="3:16" x14ac:dyDescent="0.2">
      <c r="C111" s="38"/>
      <c r="D111" s="38"/>
      <c r="E111" s="38"/>
      <c r="F111" s="36"/>
      <c r="G111" s="36"/>
      <c r="H111" s="36"/>
      <c r="I111" s="36"/>
      <c r="J111" s="36"/>
      <c r="K111" s="36"/>
      <c r="L111" s="36"/>
      <c r="M111" s="38"/>
      <c r="N111" s="38"/>
      <c r="P111" s="19"/>
    </row>
    <row r="112" spans="3:16" x14ac:dyDescent="0.2">
      <c r="C112" s="38"/>
      <c r="D112" s="38"/>
      <c r="E112" s="38"/>
      <c r="F112" s="36"/>
      <c r="G112" s="36"/>
      <c r="H112" s="36"/>
      <c r="I112" s="36"/>
      <c r="J112" s="36"/>
      <c r="K112" s="36"/>
      <c r="L112" s="36"/>
      <c r="M112" s="38"/>
      <c r="N112" s="38"/>
      <c r="P112" s="19"/>
    </row>
    <row r="113" spans="3:16" x14ac:dyDescent="0.2">
      <c r="C113" s="38"/>
      <c r="D113" s="38"/>
      <c r="E113" s="38"/>
      <c r="F113" s="36"/>
      <c r="G113" s="36"/>
      <c r="H113" s="36"/>
      <c r="I113" s="36"/>
      <c r="J113" s="36"/>
      <c r="K113" s="36"/>
      <c r="L113" s="36"/>
      <c r="M113" s="38"/>
      <c r="N113" s="38"/>
      <c r="P113" s="19"/>
    </row>
    <row r="114" spans="3:16" x14ac:dyDescent="0.2">
      <c r="C114" s="38"/>
      <c r="D114" s="38"/>
      <c r="E114" s="38"/>
      <c r="F114" s="36"/>
      <c r="G114" s="36"/>
      <c r="H114" s="36"/>
      <c r="I114" s="36"/>
      <c r="J114" s="36"/>
      <c r="K114" s="36"/>
      <c r="L114" s="36"/>
      <c r="M114" s="38"/>
      <c r="N114" s="38"/>
      <c r="P114" s="19"/>
    </row>
    <row r="115" spans="3:16" x14ac:dyDescent="0.2">
      <c r="C115" s="38"/>
      <c r="D115" s="38"/>
      <c r="E115" s="38"/>
      <c r="F115" s="36"/>
      <c r="G115" s="36"/>
      <c r="H115" s="36"/>
      <c r="I115" s="36"/>
      <c r="J115" s="36"/>
      <c r="K115" s="36"/>
      <c r="L115" s="36"/>
      <c r="M115" s="38"/>
      <c r="N115" s="38"/>
      <c r="P115" s="19"/>
    </row>
    <row r="116" spans="3:16" x14ac:dyDescent="0.2">
      <c r="C116" s="38"/>
      <c r="D116" s="38"/>
      <c r="E116" s="38"/>
      <c r="F116" s="36"/>
      <c r="G116" s="36"/>
      <c r="H116" s="36"/>
      <c r="I116" s="36"/>
      <c r="J116" s="36"/>
      <c r="K116" s="36"/>
      <c r="L116" s="36"/>
      <c r="M116" s="38"/>
      <c r="N116" s="38"/>
      <c r="P116" s="19"/>
    </row>
    <row r="117" spans="3:16" x14ac:dyDescent="0.2">
      <c r="C117" s="38"/>
      <c r="D117" s="38"/>
      <c r="E117" s="38"/>
      <c r="F117" s="36"/>
      <c r="G117" s="36"/>
      <c r="H117" s="36"/>
      <c r="I117" s="36"/>
      <c r="J117" s="36"/>
      <c r="K117" s="36"/>
      <c r="L117" s="36"/>
      <c r="M117" s="38"/>
      <c r="N117" s="38"/>
      <c r="P117" s="19"/>
    </row>
    <row r="118" spans="3:16" x14ac:dyDescent="0.2">
      <c r="C118" s="38"/>
      <c r="D118" s="38"/>
      <c r="E118" s="38"/>
      <c r="F118" s="36"/>
      <c r="G118" s="36"/>
      <c r="H118" s="36"/>
      <c r="I118" s="36"/>
      <c r="J118" s="36"/>
      <c r="K118" s="36"/>
      <c r="L118" s="36"/>
      <c r="M118" s="38"/>
      <c r="N118" s="38"/>
      <c r="P118" s="19"/>
    </row>
    <row r="119" spans="3:16" x14ac:dyDescent="0.2">
      <c r="C119" s="38"/>
      <c r="D119" s="38"/>
      <c r="E119" s="38"/>
      <c r="F119" s="36"/>
      <c r="G119" s="36"/>
      <c r="H119" s="36"/>
      <c r="I119" s="36"/>
      <c r="J119" s="36"/>
      <c r="K119" s="36"/>
      <c r="L119" s="36"/>
      <c r="M119" s="38"/>
      <c r="N119" s="38"/>
      <c r="P119" s="19"/>
    </row>
    <row r="120" spans="3:16" x14ac:dyDescent="0.2">
      <c r="C120" s="38"/>
      <c r="D120" s="38"/>
      <c r="E120" s="38"/>
      <c r="F120" s="36"/>
      <c r="G120" s="36"/>
      <c r="H120" s="36"/>
      <c r="I120" s="36"/>
      <c r="J120" s="36"/>
      <c r="K120" s="36"/>
      <c r="L120" s="36"/>
      <c r="M120" s="38"/>
      <c r="N120" s="38"/>
      <c r="P120" s="19"/>
    </row>
    <row r="121" spans="3:16" x14ac:dyDescent="0.2">
      <c r="C121" s="38"/>
      <c r="D121" s="38"/>
      <c r="E121" s="38"/>
      <c r="F121" s="36"/>
      <c r="G121" s="36"/>
      <c r="H121" s="36"/>
      <c r="I121" s="36"/>
      <c r="J121" s="36"/>
      <c r="K121" s="36"/>
      <c r="L121" s="36"/>
      <c r="M121" s="38"/>
      <c r="N121" s="38"/>
      <c r="P121" s="19"/>
    </row>
    <row r="122" spans="3:16" x14ac:dyDescent="0.2">
      <c r="C122" s="38"/>
      <c r="D122" s="38"/>
      <c r="E122" s="38"/>
      <c r="F122" s="36"/>
      <c r="G122" s="36"/>
      <c r="H122" s="36"/>
      <c r="I122" s="36"/>
      <c r="J122" s="36"/>
      <c r="K122" s="36"/>
      <c r="L122" s="36"/>
      <c r="M122" s="38"/>
      <c r="N122" s="38"/>
      <c r="P122" s="19"/>
    </row>
    <row r="123" spans="3:16" x14ac:dyDescent="0.2">
      <c r="C123" s="38"/>
      <c r="D123" s="38"/>
      <c r="E123" s="38"/>
      <c r="F123" s="36"/>
      <c r="G123" s="36"/>
      <c r="H123" s="36"/>
      <c r="I123" s="36"/>
      <c r="J123" s="36"/>
      <c r="K123" s="36"/>
      <c r="L123" s="36"/>
      <c r="M123" s="38"/>
      <c r="N123" s="38"/>
      <c r="P123" s="19"/>
    </row>
    <row r="124" spans="3:16" x14ac:dyDescent="0.2">
      <c r="C124" s="38"/>
      <c r="D124" s="38"/>
      <c r="E124" s="38"/>
      <c r="F124" s="36"/>
      <c r="G124" s="36"/>
      <c r="H124" s="36"/>
      <c r="I124" s="36"/>
      <c r="J124" s="36"/>
      <c r="K124" s="36"/>
      <c r="L124" s="36"/>
      <c r="M124" s="38"/>
      <c r="N124" s="38"/>
      <c r="P124" s="19"/>
    </row>
    <row r="125" spans="3:16" x14ac:dyDescent="0.2">
      <c r="C125" s="38"/>
      <c r="D125" s="38"/>
      <c r="E125" s="38"/>
      <c r="F125" s="36"/>
      <c r="G125" s="36"/>
      <c r="H125" s="36"/>
      <c r="I125" s="36"/>
      <c r="J125" s="36"/>
      <c r="K125" s="36"/>
      <c r="L125" s="36"/>
      <c r="M125" s="38"/>
      <c r="N125" s="38"/>
      <c r="P125" s="19"/>
    </row>
    <row r="126" spans="3:16" x14ac:dyDescent="0.2"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P126" s="19"/>
    </row>
    <row r="127" spans="3:16" x14ac:dyDescent="0.2"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P127" s="19"/>
    </row>
    <row r="128" spans="3:16" x14ac:dyDescent="0.2"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P128" s="19"/>
    </row>
    <row r="129" spans="3:16" x14ac:dyDescent="0.2"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P129" s="19"/>
    </row>
    <row r="130" spans="3:16" x14ac:dyDescent="0.2"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P130" s="19"/>
    </row>
    <row r="131" spans="3:16" x14ac:dyDescent="0.2"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P131" s="19"/>
    </row>
    <row r="132" spans="3:16" x14ac:dyDescent="0.2"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P132" s="19"/>
    </row>
    <row r="133" spans="3:16" x14ac:dyDescent="0.2"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P133" s="19"/>
    </row>
    <row r="134" spans="3:16" x14ac:dyDescent="0.2"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P134" s="19"/>
    </row>
    <row r="135" spans="3:16" x14ac:dyDescent="0.2"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P135" s="19"/>
    </row>
    <row r="136" spans="3:16" x14ac:dyDescent="0.2"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P136" s="19"/>
    </row>
    <row r="137" spans="3:16" x14ac:dyDescent="0.2"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P137" s="19"/>
    </row>
    <row r="138" spans="3:16" x14ac:dyDescent="0.2"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P138" s="19"/>
    </row>
    <row r="139" spans="3:16" x14ac:dyDescent="0.2"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P139" s="19"/>
    </row>
    <row r="140" spans="3:16" x14ac:dyDescent="0.2"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P140" s="19"/>
    </row>
    <row r="141" spans="3:16" x14ac:dyDescent="0.2"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P141" s="19"/>
    </row>
    <row r="142" spans="3:16" x14ac:dyDescent="0.2"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P142" s="19"/>
    </row>
    <row r="143" spans="3:16" x14ac:dyDescent="0.2"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P143" s="19"/>
    </row>
    <row r="144" spans="3:16" x14ac:dyDescent="0.2"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P144" s="19"/>
    </row>
    <row r="145" spans="3:16" x14ac:dyDescent="0.2"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P145" s="19"/>
    </row>
    <row r="146" spans="3:16" x14ac:dyDescent="0.2"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P146" s="19"/>
    </row>
    <row r="147" spans="3:16" x14ac:dyDescent="0.2"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P147" s="19"/>
    </row>
    <row r="148" spans="3:16" x14ac:dyDescent="0.2"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P148" s="19"/>
    </row>
    <row r="149" spans="3:16" x14ac:dyDescent="0.2"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P149" s="19"/>
    </row>
    <row r="150" spans="3:16" x14ac:dyDescent="0.2"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P150" s="19"/>
    </row>
    <row r="151" spans="3:16" x14ac:dyDescent="0.2"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P151" s="19"/>
    </row>
    <row r="152" spans="3:16" x14ac:dyDescent="0.2"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P152" s="19"/>
    </row>
    <row r="153" spans="3:16" x14ac:dyDescent="0.2"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P153" s="19"/>
    </row>
    <row r="154" spans="3:16" x14ac:dyDescent="0.2"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P154" s="19"/>
    </row>
    <row r="155" spans="3:16" x14ac:dyDescent="0.2"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P155" s="19"/>
    </row>
    <row r="156" spans="3:16" x14ac:dyDescent="0.2"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P156" s="19"/>
    </row>
    <row r="157" spans="3:16" x14ac:dyDescent="0.2"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P157" s="19"/>
    </row>
    <row r="158" spans="3:16" x14ac:dyDescent="0.2"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P158" s="19"/>
    </row>
    <row r="159" spans="3:16" x14ac:dyDescent="0.2"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P159" s="19"/>
    </row>
    <row r="160" spans="3:16" x14ac:dyDescent="0.2"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P160" s="19"/>
    </row>
    <row r="161" spans="3:16" x14ac:dyDescent="0.2"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P161" s="19"/>
    </row>
    <row r="162" spans="3:16" x14ac:dyDescent="0.2"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P162" s="19"/>
    </row>
    <row r="163" spans="3:16" x14ac:dyDescent="0.2"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P163" s="19"/>
    </row>
    <row r="164" spans="3:16" x14ac:dyDescent="0.2"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P164" s="19"/>
    </row>
    <row r="165" spans="3:16" x14ac:dyDescent="0.2"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P165" s="19"/>
    </row>
    <row r="166" spans="3:16" x14ac:dyDescent="0.2"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P166" s="19"/>
    </row>
    <row r="167" spans="3:16" x14ac:dyDescent="0.2"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P167" s="19"/>
    </row>
    <row r="168" spans="3:16" x14ac:dyDescent="0.2"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P168" s="19"/>
    </row>
    <row r="169" spans="3:16" x14ac:dyDescent="0.2"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P169" s="19"/>
    </row>
    <row r="170" spans="3:16" x14ac:dyDescent="0.2"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P170" s="19"/>
    </row>
    <row r="171" spans="3:16" x14ac:dyDescent="0.2"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P171" s="19"/>
    </row>
    <row r="172" spans="3:16" x14ac:dyDescent="0.2"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P172" s="19"/>
    </row>
    <row r="173" spans="3:16" x14ac:dyDescent="0.2"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P173" s="19"/>
    </row>
    <row r="174" spans="3:16" x14ac:dyDescent="0.2"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P174" s="19"/>
    </row>
    <row r="175" spans="3:16" x14ac:dyDescent="0.2"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P175" s="19"/>
    </row>
    <row r="176" spans="3:16" x14ac:dyDescent="0.2"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P176" s="19"/>
    </row>
    <row r="177" spans="3:16" x14ac:dyDescent="0.2"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P177" s="19"/>
    </row>
    <row r="178" spans="3:16" x14ac:dyDescent="0.2"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P178" s="19"/>
    </row>
    <row r="179" spans="3:16" x14ac:dyDescent="0.2"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P179" s="19"/>
    </row>
    <row r="180" spans="3:16" x14ac:dyDescent="0.2"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P180" s="19"/>
    </row>
    <row r="181" spans="3:16" x14ac:dyDescent="0.2"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P181" s="19"/>
    </row>
    <row r="182" spans="3:16" x14ac:dyDescent="0.2"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P182" s="19"/>
    </row>
    <row r="183" spans="3:16" x14ac:dyDescent="0.2"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P183" s="19"/>
    </row>
    <row r="184" spans="3:16" x14ac:dyDescent="0.2"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P184" s="19"/>
    </row>
    <row r="185" spans="3:16" x14ac:dyDescent="0.2"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P185" s="19"/>
    </row>
    <row r="186" spans="3:16" x14ac:dyDescent="0.2"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P186" s="19"/>
    </row>
    <row r="187" spans="3:16" x14ac:dyDescent="0.2"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P187" s="19"/>
    </row>
    <row r="188" spans="3:16" x14ac:dyDescent="0.2"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P188" s="19"/>
    </row>
    <row r="189" spans="3:16" x14ac:dyDescent="0.2"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P189" s="19"/>
    </row>
    <row r="190" spans="3:16" x14ac:dyDescent="0.2"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P190" s="19"/>
    </row>
    <row r="191" spans="3:16" x14ac:dyDescent="0.2"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P191" s="19"/>
    </row>
    <row r="192" spans="3:16" x14ac:dyDescent="0.2"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P192" s="19"/>
    </row>
    <row r="193" spans="3:16" x14ac:dyDescent="0.2"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P193" s="19"/>
    </row>
    <row r="194" spans="3:16" x14ac:dyDescent="0.2"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P194" s="19"/>
    </row>
    <row r="195" spans="3:16" x14ac:dyDescent="0.2"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P195" s="19"/>
    </row>
    <row r="196" spans="3:16" x14ac:dyDescent="0.2"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P196" s="19"/>
    </row>
    <row r="197" spans="3:16" x14ac:dyDescent="0.2"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P197" s="19"/>
    </row>
    <row r="198" spans="3:16" x14ac:dyDescent="0.2"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P198" s="19"/>
    </row>
    <row r="199" spans="3:16" x14ac:dyDescent="0.2"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P199" s="19"/>
    </row>
    <row r="200" spans="3:16" x14ac:dyDescent="0.2"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P200" s="19"/>
    </row>
    <row r="201" spans="3:16" x14ac:dyDescent="0.2"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P201" s="19"/>
    </row>
    <row r="202" spans="3:16" x14ac:dyDescent="0.2"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P202" s="19"/>
    </row>
    <row r="203" spans="3:16" x14ac:dyDescent="0.2"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P203" s="19"/>
    </row>
    <row r="204" spans="3:16" x14ac:dyDescent="0.2"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P204" s="19"/>
    </row>
    <row r="205" spans="3:16" x14ac:dyDescent="0.2"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P205" s="19"/>
    </row>
    <row r="206" spans="3:16" x14ac:dyDescent="0.2"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P206" s="19"/>
    </row>
    <row r="207" spans="3:16" x14ac:dyDescent="0.2"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P207" s="19"/>
    </row>
    <row r="208" spans="3:16" x14ac:dyDescent="0.2"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P208" s="19"/>
    </row>
    <row r="209" spans="3:16" x14ac:dyDescent="0.2"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P209" s="19"/>
    </row>
    <row r="210" spans="3:16" x14ac:dyDescent="0.2"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P210" s="19"/>
    </row>
    <row r="211" spans="3:16" x14ac:dyDescent="0.2"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P211" s="19"/>
    </row>
    <row r="212" spans="3:16" x14ac:dyDescent="0.2"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P212" s="19"/>
    </row>
    <row r="213" spans="3:16" x14ac:dyDescent="0.2"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P213" s="19"/>
    </row>
    <row r="214" spans="3:16" x14ac:dyDescent="0.2"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P214" s="19"/>
    </row>
    <row r="215" spans="3:16" x14ac:dyDescent="0.2"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P215" s="19"/>
    </row>
    <row r="216" spans="3:16" x14ac:dyDescent="0.2"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P216" s="19"/>
    </row>
    <row r="217" spans="3:16" x14ac:dyDescent="0.2"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P217" s="19"/>
    </row>
    <row r="218" spans="3:16" x14ac:dyDescent="0.2"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P218" s="19"/>
    </row>
    <row r="219" spans="3:16" x14ac:dyDescent="0.2"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P219" s="19"/>
    </row>
    <row r="220" spans="3:16" x14ac:dyDescent="0.2"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P220" s="19"/>
    </row>
    <row r="221" spans="3:16" x14ac:dyDescent="0.2"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P221" s="19"/>
    </row>
    <row r="222" spans="3:16" x14ac:dyDescent="0.2"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P222" s="19"/>
    </row>
    <row r="223" spans="3:16" x14ac:dyDescent="0.2"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P223" s="19"/>
    </row>
    <row r="224" spans="3:16" x14ac:dyDescent="0.2"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P224" s="19"/>
    </row>
    <row r="225" spans="3:16" x14ac:dyDescent="0.2"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P225" s="19"/>
    </row>
    <row r="226" spans="3:16" x14ac:dyDescent="0.2"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P226" s="19"/>
    </row>
    <row r="227" spans="3:16" x14ac:dyDescent="0.2"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P227" s="19"/>
    </row>
    <row r="228" spans="3:16" x14ac:dyDescent="0.2"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P228" s="19"/>
    </row>
    <row r="229" spans="3:16" x14ac:dyDescent="0.2"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P229" s="19"/>
    </row>
    <row r="230" spans="3:16" x14ac:dyDescent="0.2"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P230" s="19"/>
    </row>
    <row r="231" spans="3:16" x14ac:dyDescent="0.2"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P231" s="19"/>
    </row>
    <row r="232" spans="3:16" x14ac:dyDescent="0.2"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P232" s="19"/>
    </row>
    <row r="233" spans="3:16" x14ac:dyDescent="0.2"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P233" s="19"/>
    </row>
    <row r="234" spans="3:16" x14ac:dyDescent="0.2"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P234" s="19"/>
    </row>
    <row r="235" spans="3:16" x14ac:dyDescent="0.2"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P235" s="19"/>
    </row>
    <row r="236" spans="3:16" x14ac:dyDescent="0.2"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P236" s="19"/>
    </row>
    <row r="237" spans="3:16" x14ac:dyDescent="0.2"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P237" s="19"/>
    </row>
    <row r="238" spans="3:16" x14ac:dyDescent="0.2"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P238" s="19"/>
    </row>
    <row r="239" spans="3:16" x14ac:dyDescent="0.2"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P239" s="19"/>
    </row>
    <row r="240" spans="3:16" x14ac:dyDescent="0.2"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P240" s="19"/>
    </row>
    <row r="241" spans="3:16" x14ac:dyDescent="0.2"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P241" s="19"/>
    </row>
    <row r="242" spans="3:16" x14ac:dyDescent="0.2"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P242" s="19"/>
    </row>
    <row r="243" spans="3:16" x14ac:dyDescent="0.2"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P243" s="19"/>
    </row>
    <row r="244" spans="3:16" x14ac:dyDescent="0.2"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P244" s="19"/>
    </row>
    <row r="245" spans="3:16" x14ac:dyDescent="0.2"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P245" s="19"/>
    </row>
    <row r="246" spans="3:16" x14ac:dyDescent="0.2"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P246" s="19"/>
    </row>
    <row r="247" spans="3:16" x14ac:dyDescent="0.2"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P247" s="19"/>
    </row>
    <row r="248" spans="3:16" x14ac:dyDescent="0.2"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P248" s="19"/>
    </row>
    <row r="249" spans="3:16" x14ac:dyDescent="0.2"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P249" s="19"/>
    </row>
    <row r="250" spans="3:16" x14ac:dyDescent="0.2"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P250" s="19"/>
    </row>
    <row r="251" spans="3:16" x14ac:dyDescent="0.2"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P251" s="19"/>
    </row>
    <row r="252" spans="3:16" x14ac:dyDescent="0.2"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P252" s="19"/>
    </row>
    <row r="253" spans="3:16" x14ac:dyDescent="0.2"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P253" s="19"/>
    </row>
    <row r="254" spans="3:16" x14ac:dyDescent="0.2"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P254" s="19"/>
    </row>
    <row r="255" spans="3:16" x14ac:dyDescent="0.2"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P255" s="19"/>
    </row>
    <row r="256" spans="3:16" x14ac:dyDescent="0.2"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P256" s="19"/>
    </row>
    <row r="257" spans="3:16" x14ac:dyDescent="0.2"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P257" s="19"/>
    </row>
    <row r="258" spans="3:16" x14ac:dyDescent="0.2"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P258" s="19"/>
    </row>
    <row r="259" spans="3:16" x14ac:dyDescent="0.2"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P259" s="19"/>
    </row>
    <row r="260" spans="3:16" x14ac:dyDescent="0.2"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P260" s="19"/>
    </row>
    <row r="261" spans="3:16" x14ac:dyDescent="0.2"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P261" s="19"/>
    </row>
    <row r="262" spans="3:16" x14ac:dyDescent="0.2"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P262" s="19"/>
    </row>
    <row r="263" spans="3:16" x14ac:dyDescent="0.2"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P263" s="19"/>
    </row>
    <row r="264" spans="3:16" x14ac:dyDescent="0.2"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P264" s="19"/>
    </row>
    <row r="265" spans="3:16" x14ac:dyDescent="0.2"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P265" s="19"/>
    </row>
    <row r="266" spans="3:16" x14ac:dyDescent="0.2"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P266" s="19"/>
    </row>
    <row r="267" spans="3:16" x14ac:dyDescent="0.2"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P267" s="19"/>
    </row>
    <row r="268" spans="3:16" x14ac:dyDescent="0.2"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P268" s="19"/>
    </row>
    <row r="269" spans="3:16" x14ac:dyDescent="0.2"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P269" s="19"/>
    </row>
    <row r="270" spans="3:16" x14ac:dyDescent="0.2"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P270" s="19"/>
    </row>
    <row r="271" spans="3:16" x14ac:dyDescent="0.2"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P271" s="19"/>
    </row>
    <row r="272" spans="3:16" x14ac:dyDescent="0.2"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P272" s="19"/>
    </row>
    <row r="273" spans="3:16" x14ac:dyDescent="0.2"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P273" s="19"/>
    </row>
    <row r="274" spans="3:16" x14ac:dyDescent="0.2"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P274" s="19"/>
    </row>
    <row r="275" spans="3:16" x14ac:dyDescent="0.2"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P275" s="19"/>
    </row>
    <row r="276" spans="3:16" x14ac:dyDescent="0.2"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P276" s="19"/>
    </row>
    <row r="277" spans="3:16" x14ac:dyDescent="0.2"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P277" s="19"/>
    </row>
    <row r="278" spans="3:16" x14ac:dyDescent="0.2"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P278" s="19"/>
    </row>
    <row r="279" spans="3:16" x14ac:dyDescent="0.2"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P279" s="19"/>
    </row>
    <row r="280" spans="3:16" x14ac:dyDescent="0.2"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P280" s="19"/>
    </row>
    <row r="281" spans="3:16" x14ac:dyDescent="0.2"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P281" s="19"/>
    </row>
    <row r="282" spans="3:16" x14ac:dyDescent="0.2"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P282" s="19"/>
    </row>
    <row r="283" spans="3:16" x14ac:dyDescent="0.2"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P283" s="19"/>
    </row>
    <row r="284" spans="3:16" x14ac:dyDescent="0.2"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P284" s="19"/>
    </row>
    <row r="285" spans="3:16" x14ac:dyDescent="0.2"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P285" s="19"/>
    </row>
    <row r="286" spans="3:16" x14ac:dyDescent="0.2"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P286" s="19"/>
    </row>
    <row r="287" spans="3:16" x14ac:dyDescent="0.2"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P287" s="19"/>
    </row>
    <row r="288" spans="3:16" x14ac:dyDescent="0.2"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P288" s="19"/>
    </row>
    <row r="289" spans="3:16" x14ac:dyDescent="0.2"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P289" s="19"/>
    </row>
    <row r="290" spans="3:16" x14ac:dyDescent="0.2"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P290" s="19"/>
    </row>
    <row r="291" spans="3:16" x14ac:dyDescent="0.2"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P291" s="19"/>
    </row>
    <row r="292" spans="3:16" x14ac:dyDescent="0.2"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P292" s="19"/>
    </row>
    <row r="293" spans="3:16" x14ac:dyDescent="0.2"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P293" s="19"/>
    </row>
    <row r="294" spans="3:16" x14ac:dyDescent="0.2"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P294" s="19"/>
    </row>
    <row r="295" spans="3:16" x14ac:dyDescent="0.2"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P295" s="19"/>
    </row>
    <row r="296" spans="3:16" x14ac:dyDescent="0.2"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P296" s="19"/>
    </row>
    <row r="297" spans="3:16" x14ac:dyDescent="0.2"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P297" s="19"/>
    </row>
    <row r="298" spans="3:16" x14ac:dyDescent="0.2"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P298" s="19"/>
    </row>
    <row r="299" spans="3:16" x14ac:dyDescent="0.2"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P299" s="19"/>
    </row>
    <row r="300" spans="3:16" x14ac:dyDescent="0.2"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P300" s="19"/>
    </row>
    <row r="301" spans="3:16" x14ac:dyDescent="0.2"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P301" s="19"/>
    </row>
    <row r="302" spans="3:16" x14ac:dyDescent="0.2"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P302" s="19"/>
    </row>
    <row r="303" spans="3:16" x14ac:dyDescent="0.2"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P303" s="19"/>
    </row>
    <row r="304" spans="3:16" x14ac:dyDescent="0.2"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P304" s="19"/>
    </row>
    <row r="305" spans="3:16" x14ac:dyDescent="0.2"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P305" s="19"/>
    </row>
    <row r="306" spans="3:16" x14ac:dyDescent="0.2"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P306" s="19"/>
    </row>
    <row r="307" spans="3:16" x14ac:dyDescent="0.2"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P307" s="19"/>
    </row>
    <row r="308" spans="3:16" x14ac:dyDescent="0.2"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P308" s="19"/>
    </row>
    <row r="309" spans="3:16" x14ac:dyDescent="0.2"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P309" s="19"/>
    </row>
    <row r="310" spans="3:16" x14ac:dyDescent="0.2"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P310" s="19"/>
    </row>
    <row r="311" spans="3:16" x14ac:dyDescent="0.2"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P311" s="19"/>
    </row>
    <row r="312" spans="3:16" x14ac:dyDescent="0.2"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P312" s="19"/>
    </row>
    <row r="313" spans="3:16" x14ac:dyDescent="0.2"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P313" s="19"/>
    </row>
    <row r="314" spans="3:16" x14ac:dyDescent="0.2"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P314" s="19"/>
    </row>
    <row r="315" spans="3:16" x14ac:dyDescent="0.2"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P315" s="19"/>
    </row>
    <row r="316" spans="3:16" x14ac:dyDescent="0.2"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P316" s="19"/>
    </row>
    <row r="317" spans="3:16" x14ac:dyDescent="0.2"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P317" s="19"/>
    </row>
    <row r="318" spans="3:16" x14ac:dyDescent="0.2"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P318" s="19"/>
    </row>
    <row r="319" spans="3:16" x14ac:dyDescent="0.2"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P319" s="19"/>
    </row>
    <row r="320" spans="3:16" x14ac:dyDescent="0.2"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P320" s="19"/>
    </row>
    <row r="321" spans="3:16" x14ac:dyDescent="0.2"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P321" s="19"/>
    </row>
    <row r="322" spans="3:16" x14ac:dyDescent="0.2"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P322" s="19"/>
    </row>
    <row r="323" spans="3:16" x14ac:dyDescent="0.2"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P323" s="19"/>
    </row>
    <row r="324" spans="3:16" x14ac:dyDescent="0.2"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P324" s="19"/>
    </row>
    <row r="325" spans="3:16" x14ac:dyDescent="0.2"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P325" s="19"/>
    </row>
    <row r="326" spans="3:16" x14ac:dyDescent="0.2"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P326" s="19"/>
    </row>
    <row r="327" spans="3:16" x14ac:dyDescent="0.2"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P327" s="19"/>
    </row>
    <row r="328" spans="3:16" x14ac:dyDescent="0.2"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P328" s="19"/>
    </row>
    <row r="329" spans="3:16" x14ac:dyDescent="0.2"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P329" s="19"/>
    </row>
    <row r="330" spans="3:16" x14ac:dyDescent="0.2"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P330" s="19"/>
    </row>
    <row r="331" spans="3:16" x14ac:dyDescent="0.2"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P331" s="19"/>
    </row>
    <row r="332" spans="3:16" x14ac:dyDescent="0.2"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P332" s="19"/>
    </row>
    <row r="333" spans="3:16" x14ac:dyDescent="0.2"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P333" s="19"/>
    </row>
    <row r="334" spans="3:16" x14ac:dyDescent="0.2"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P334" s="19"/>
    </row>
    <row r="335" spans="3:16" x14ac:dyDescent="0.2"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P335" s="19"/>
    </row>
    <row r="336" spans="3:16" x14ac:dyDescent="0.2"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P336" s="19"/>
    </row>
    <row r="337" spans="3:16" x14ac:dyDescent="0.2"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P337" s="19"/>
    </row>
    <row r="338" spans="3:16" x14ac:dyDescent="0.2"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P338" s="19"/>
    </row>
    <row r="339" spans="3:16" x14ac:dyDescent="0.2"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P339" s="19"/>
    </row>
    <row r="340" spans="3:16" x14ac:dyDescent="0.2"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P340" s="19"/>
    </row>
    <row r="341" spans="3:16" x14ac:dyDescent="0.2"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P341" s="19"/>
    </row>
    <row r="342" spans="3:16" x14ac:dyDescent="0.2"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P342" s="19"/>
    </row>
    <row r="343" spans="3:16" x14ac:dyDescent="0.2"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P343" s="19"/>
    </row>
    <row r="344" spans="3:16" x14ac:dyDescent="0.2"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P344" s="19"/>
    </row>
    <row r="345" spans="3:16" x14ac:dyDescent="0.2"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P345" s="19"/>
    </row>
    <row r="346" spans="3:16" x14ac:dyDescent="0.2"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P346" s="19"/>
    </row>
    <row r="347" spans="3:16" x14ac:dyDescent="0.2"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P347" s="19"/>
    </row>
    <row r="348" spans="3:16" x14ac:dyDescent="0.2"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P348" s="19"/>
    </row>
    <row r="349" spans="3:16" x14ac:dyDescent="0.2"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P349" s="19"/>
    </row>
    <row r="350" spans="3:16" x14ac:dyDescent="0.2"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P350" s="19"/>
    </row>
    <row r="351" spans="3:16" x14ac:dyDescent="0.2"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P351" s="19"/>
    </row>
    <row r="352" spans="3:16" x14ac:dyDescent="0.2"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P352" s="19"/>
    </row>
    <row r="353" spans="3:16" x14ac:dyDescent="0.2"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P353" s="19"/>
    </row>
    <row r="354" spans="3:16" x14ac:dyDescent="0.2"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P354" s="19"/>
    </row>
    <row r="355" spans="3:16" x14ac:dyDescent="0.2"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P355" s="19"/>
    </row>
    <row r="356" spans="3:16" x14ac:dyDescent="0.2"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P356" s="19"/>
    </row>
    <row r="357" spans="3:16" x14ac:dyDescent="0.2"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P357" s="19"/>
    </row>
    <row r="358" spans="3:16" x14ac:dyDescent="0.2"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P358" s="19"/>
    </row>
    <row r="359" spans="3:16" x14ac:dyDescent="0.2"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P359" s="19"/>
    </row>
    <row r="360" spans="3:16" x14ac:dyDescent="0.2"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P360" s="19"/>
    </row>
    <row r="361" spans="3:16" x14ac:dyDescent="0.2"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P361" s="19"/>
    </row>
    <row r="362" spans="3:16" x14ac:dyDescent="0.2"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P362" s="19"/>
    </row>
    <row r="363" spans="3:16" x14ac:dyDescent="0.2"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P363" s="19"/>
    </row>
    <row r="364" spans="3:16" x14ac:dyDescent="0.2"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P364" s="19"/>
    </row>
    <row r="365" spans="3:16" x14ac:dyDescent="0.2"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P365" s="19"/>
    </row>
    <row r="366" spans="3:16" x14ac:dyDescent="0.2"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P366" s="19"/>
    </row>
    <row r="367" spans="3:16" x14ac:dyDescent="0.2"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P367" s="19"/>
    </row>
    <row r="368" spans="3:16" x14ac:dyDescent="0.2"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P368" s="19"/>
    </row>
    <row r="369" spans="3:16" x14ac:dyDescent="0.2"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P369" s="19"/>
    </row>
    <row r="370" spans="3:16" x14ac:dyDescent="0.2"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P370" s="19"/>
    </row>
    <row r="371" spans="3:16" x14ac:dyDescent="0.2"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P371" s="19"/>
    </row>
    <row r="372" spans="3:16" x14ac:dyDescent="0.2"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P372" s="19"/>
    </row>
    <row r="373" spans="3:16" x14ac:dyDescent="0.2"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P373" s="19"/>
    </row>
    <row r="374" spans="3:16" x14ac:dyDescent="0.2"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P374" s="19"/>
    </row>
    <row r="375" spans="3:16" x14ac:dyDescent="0.2"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P375" s="19"/>
    </row>
    <row r="376" spans="3:16" x14ac:dyDescent="0.2"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P376" s="19"/>
    </row>
    <row r="377" spans="3:16" x14ac:dyDescent="0.2"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P377" s="19"/>
    </row>
    <row r="378" spans="3:16" x14ac:dyDescent="0.2"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P378" s="19"/>
    </row>
    <row r="379" spans="3:16" x14ac:dyDescent="0.2"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P379" s="19"/>
    </row>
    <row r="380" spans="3:16" x14ac:dyDescent="0.2"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P380" s="19"/>
    </row>
    <row r="381" spans="3:16" x14ac:dyDescent="0.2"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P381" s="19"/>
    </row>
    <row r="382" spans="3:16" x14ac:dyDescent="0.2"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P382" s="19"/>
    </row>
    <row r="383" spans="3:16" x14ac:dyDescent="0.2"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P383" s="19"/>
    </row>
    <row r="384" spans="3:16" x14ac:dyDescent="0.2"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P384" s="19"/>
    </row>
    <row r="385" spans="3:16" x14ac:dyDescent="0.2"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P385" s="19"/>
    </row>
    <row r="386" spans="3:16" x14ac:dyDescent="0.2"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P386" s="19"/>
    </row>
    <row r="387" spans="3:16" x14ac:dyDescent="0.2"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P387" s="19"/>
    </row>
    <row r="388" spans="3:16" x14ac:dyDescent="0.2"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P388" s="19"/>
    </row>
    <row r="389" spans="3:16" x14ac:dyDescent="0.2"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P389" s="19"/>
    </row>
    <row r="390" spans="3:16" x14ac:dyDescent="0.2"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P390" s="19"/>
    </row>
    <row r="391" spans="3:16" x14ac:dyDescent="0.2"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P391" s="19"/>
    </row>
    <row r="392" spans="3:16" x14ac:dyDescent="0.2"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P392" s="19"/>
    </row>
    <row r="393" spans="3:16" x14ac:dyDescent="0.2"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P393" s="19"/>
    </row>
    <row r="394" spans="3:16" x14ac:dyDescent="0.2"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P394" s="19"/>
    </row>
    <row r="395" spans="3:16" x14ac:dyDescent="0.2"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P395" s="19"/>
    </row>
    <row r="396" spans="3:16" x14ac:dyDescent="0.2"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P396" s="19"/>
    </row>
    <row r="397" spans="3:16" x14ac:dyDescent="0.2"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P397" s="19"/>
    </row>
    <row r="398" spans="3:16" x14ac:dyDescent="0.2"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P398" s="19"/>
    </row>
    <row r="399" spans="3:16" x14ac:dyDescent="0.2"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P399" s="19"/>
    </row>
    <row r="400" spans="3:16" x14ac:dyDescent="0.2"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P400" s="19"/>
    </row>
    <row r="401" spans="3:16" x14ac:dyDescent="0.2"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P401" s="19"/>
    </row>
    <row r="402" spans="3:16" x14ac:dyDescent="0.2"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P402" s="19"/>
    </row>
    <row r="403" spans="3:16" x14ac:dyDescent="0.2"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P403" s="19"/>
    </row>
    <row r="404" spans="3:16" x14ac:dyDescent="0.2"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P404" s="19"/>
    </row>
    <row r="405" spans="3:16" x14ac:dyDescent="0.2"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P405" s="19"/>
    </row>
    <row r="406" spans="3:16" x14ac:dyDescent="0.2"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P406" s="19"/>
    </row>
    <row r="407" spans="3:16" x14ac:dyDescent="0.2"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P407" s="19"/>
    </row>
    <row r="408" spans="3:16" x14ac:dyDescent="0.2"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P408" s="19"/>
    </row>
    <row r="409" spans="3:16" x14ac:dyDescent="0.2"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P409" s="19"/>
    </row>
    <row r="410" spans="3:16" x14ac:dyDescent="0.2"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P410" s="19"/>
    </row>
    <row r="411" spans="3:16" x14ac:dyDescent="0.2"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P411" s="19"/>
    </row>
    <row r="412" spans="3:16" x14ac:dyDescent="0.2"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P412" s="19"/>
    </row>
    <row r="413" spans="3:16" x14ac:dyDescent="0.2"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P413" s="19"/>
    </row>
    <row r="414" spans="3:16" x14ac:dyDescent="0.2"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P414" s="19"/>
    </row>
    <row r="415" spans="3:16" x14ac:dyDescent="0.2">
      <c r="P415" s="19"/>
    </row>
    <row r="416" spans="3:16" x14ac:dyDescent="0.2">
      <c r="P416" s="19"/>
    </row>
    <row r="417" spans="16:16" x14ac:dyDescent="0.2">
      <c r="P417" s="19"/>
    </row>
    <row r="418" spans="16:16" x14ac:dyDescent="0.2">
      <c r="P418" s="19"/>
    </row>
    <row r="419" spans="16:16" x14ac:dyDescent="0.2">
      <c r="P419" s="19"/>
    </row>
    <row r="420" spans="16:16" x14ac:dyDescent="0.2">
      <c r="P420" s="19"/>
    </row>
    <row r="421" spans="16:16" x14ac:dyDescent="0.2">
      <c r="P421" s="19"/>
    </row>
    <row r="422" spans="16:16" x14ac:dyDescent="0.2">
      <c r="P422" s="19"/>
    </row>
    <row r="423" spans="16:16" x14ac:dyDescent="0.2">
      <c r="P423" s="19"/>
    </row>
    <row r="424" spans="16:16" x14ac:dyDescent="0.2">
      <c r="P424" s="19"/>
    </row>
    <row r="425" spans="16:16" x14ac:dyDescent="0.2">
      <c r="P425" s="19"/>
    </row>
    <row r="426" spans="16:16" x14ac:dyDescent="0.2">
      <c r="P426" s="19"/>
    </row>
    <row r="427" spans="16:16" x14ac:dyDescent="0.2">
      <c r="P427" s="19"/>
    </row>
    <row r="428" spans="16:16" x14ac:dyDescent="0.2">
      <c r="P428" s="19"/>
    </row>
    <row r="429" spans="16:16" x14ac:dyDescent="0.2">
      <c r="P429" s="19"/>
    </row>
    <row r="430" spans="16:16" x14ac:dyDescent="0.2">
      <c r="P430" s="19"/>
    </row>
    <row r="431" spans="16:16" x14ac:dyDescent="0.2">
      <c r="P431" s="19"/>
    </row>
    <row r="432" spans="16:16" x14ac:dyDescent="0.2">
      <c r="P432" s="19"/>
    </row>
    <row r="433" spans="16:16" x14ac:dyDescent="0.2">
      <c r="P433" s="19"/>
    </row>
    <row r="434" spans="16:16" x14ac:dyDescent="0.2">
      <c r="P434" s="19"/>
    </row>
    <row r="435" spans="16:16" x14ac:dyDescent="0.2">
      <c r="P435" s="19"/>
    </row>
    <row r="436" spans="16:16" x14ac:dyDescent="0.2">
      <c r="P436" s="19"/>
    </row>
    <row r="437" spans="16:16" x14ac:dyDescent="0.2">
      <c r="P437" s="19"/>
    </row>
    <row r="438" spans="16:16" x14ac:dyDescent="0.2">
      <c r="P438" s="19"/>
    </row>
    <row r="439" spans="16:16" x14ac:dyDescent="0.2">
      <c r="P439" s="19"/>
    </row>
    <row r="440" spans="16:16" x14ac:dyDescent="0.2">
      <c r="P440" s="19"/>
    </row>
    <row r="441" spans="16:16" x14ac:dyDescent="0.2">
      <c r="P441" s="19"/>
    </row>
    <row r="442" spans="16:16" x14ac:dyDescent="0.2">
      <c r="P442" s="19"/>
    </row>
    <row r="443" spans="16:16" x14ac:dyDescent="0.2">
      <c r="P443" s="19"/>
    </row>
    <row r="444" spans="16:16" x14ac:dyDescent="0.2">
      <c r="P444" s="19"/>
    </row>
    <row r="445" spans="16:16" x14ac:dyDescent="0.2">
      <c r="P445" s="19"/>
    </row>
    <row r="446" spans="16:16" x14ac:dyDescent="0.2">
      <c r="P446" s="19"/>
    </row>
    <row r="447" spans="16:16" x14ac:dyDescent="0.2">
      <c r="P447" s="19"/>
    </row>
    <row r="448" spans="16:16" x14ac:dyDescent="0.2">
      <c r="P448" s="19"/>
    </row>
    <row r="449" spans="16:16" x14ac:dyDescent="0.2">
      <c r="P449" s="19"/>
    </row>
    <row r="450" spans="16:16" x14ac:dyDescent="0.2">
      <c r="P450" s="19"/>
    </row>
    <row r="451" spans="16:16" x14ac:dyDescent="0.2">
      <c r="P451" s="19"/>
    </row>
    <row r="452" spans="16:16" x14ac:dyDescent="0.2">
      <c r="P452" s="19"/>
    </row>
    <row r="453" spans="16:16" x14ac:dyDescent="0.2">
      <c r="P453" s="19"/>
    </row>
    <row r="454" spans="16:16" x14ac:dyDescent="0.2">
      <c r="P454" s="19"/>
    </row>
    <row r="455" spans="16:16" x14ac:dyDescent="0.2">
      <c r="P455" s="19"/>
    </row>
    <row r="456" spans="16:16" x14ac:dyDescent="0.2">
      <c r="P456" s="19"/>
    </row>
    <row r="457" spans="16:16" x14ac:dyDescent="0.2">
      <c r="P457" s="19"/>
    </row>
    <row r="458" spans="16:16" x14ac:dyDescent="0.2">
      <c r="P458" s="19"/>
    </row>
    <row r="459" spans="16:16" x14ac:dyDescent="0.2">
      <c r="P459" s="19"/>
    </row>
    <row r="460" spans="16:16" x14ac:dyDescent="0.2">
      <c r="P460" s="19"/>
    </row>
    <row r="461" spans="16:16" x14ac:dyDescent="0.2">
      <c r="P461" s="19"/>
    </row>
    <row r="462" spans="16:16" x14ac:dyDescent="0.2">
      <c r="P462" s="19"/>
    </row>
    <row r="463" spans="16:16" x14ac:dyDescent="0.2">
      <c r="P463" s="19"/>
    </row>
    <row r="464" spans="16:16" x14ac:dyDescent="0.2">
      <c r="P464" s="19"/>
    </row>
    <row r="465" spans="16:16" x14ac:dyDescent="0.2">
      <c r="P465" s="19"/>
    </row>
    <row r="466" spans="16:16" x14ac:dyDescent="0.2">
      <c r="P466" s="19"/>
    </row>
    <row r="467" spans="16:16" x14ac:dyDescent="0.2">
      <c r="P467" s="19"/>
    </row>
    <row r="468" spans="16:16" x14ac:dyDescent="0.2">
      <c r="P468" s="19"/>
    </row>
    <row r="469" spans="16:16" x14ac:dyDescent="0.2">
      <c r="P469" s="19"/>
    </row>
    <row r="470" spans="16:16" x14ac:dyDescent="0.2">
      <c r="P470" s="19"/>
    </row>
    <row r="471" spans="16:16" x14ac:dyDescent="0.2">
      <c r="P471" s="19"/>
    </row>
    <row r="472" spans="16:16" x14ac:dyDescent="0.2">
      <c r="P472" s="19"/>
    </row>
    <row r="473" spans="16:16" x14ac:dyDescent="0.2">
      <c r="P473" s="19"/>
    </row>
    <row r="474" spans="16:16" x14ac:dyDescent="0.2">
      <c r="P474" s="19"/>
    </row>
    <row r="475" spans="16:16" x14ac:dyDescent="0.2">
      <c r="P475" s="19"/>
    </row>
    <row r="476" spans="16:16" x14ac:dyDescent="0.2">
      <c r="P476" s="19"/>
    </row>
    <row r="477" spans="16:16" x14ac:dyDescent="0.2">
      <c r="P477" s="19"/>
    </row>
    <row r="478" spans="16:16" x14ac:dyDescent="0.2">
      <c r="P478" s="19"/>
    </row>
    <row r="479" spans="16:16" x14ac:dyDescent="0.2">
      <c r="P479" s="19"/>
    </row>
    <row r="480" spans="16:16" x14ac:dyDescent="0.2">
      <c r="P480" s="19"/>
    </row>
    <row r="481" spans="16:16" x14ac:dyDescent="0.2">
      <c r="P481" s="19"/>
    </row>
    <row r="482" spans="16:16" x14ac:dyDescent="0.2">
      <c r="P482" s="19"/>
    </row>
    <row r="483" spans="16:16" x14ac:dyDescent="0.2">
      <c r="P483" s="19"/>
    </row>
    <row r="484" spans="16:16" x14ac:dyDescent="0.2">
      <c r="P484" s="19"/>
    </row>
    <row r="485" spans="16:16" x14ac:dyDescent="0.2">
      <c r="P485" s="19"/>
    </row>
    <row r="486" spans="16:16" x14ac:dyDescent="0.2">
      <c r="P486" s="19"/>
    </row>
    <row r="487" spans="16:16" x14ac:dyDescent="0.2">
      <c r="P487" s="19"/>
    </row>
    <row r="488" spans="16:16" x14ac:dyDescent="0.2">
      <c r="P488" s="19"/>
    </row>
    <row r="489" spans="16:16" x14ac:dyDescent="0.2">
      <c r="P489" s="19"/>
    </row>
    <row r="490" spans="16:16" x14ac:dyDescent="0.2">
      <c r="P490" s="19"/>
    </row>
    <row r="491" spans="16:16" x14ac:dyDescent="0.2">
      <c r="P491" s="19"/>
    </row>
    <row r="492" spans="16:16" x14ac:dyDescent="0.2">
      <c r="P492" s="19"/>
    </row>
    <row r="493" spans="16:16" x14ac:dyDescent="0.2">
      <c r="P493" s="19"/>
    </row>
    <row r="494" spans="16:16" x14ac:dyDescent="0.2">
      <c r="P494" s="19"/>
    </row>
    <row r="495" spans="16:16" x14ac:dyDescent="0.2">
      <c r="P495" s="19"/>
    </row>
    <row r="496" spans="16:16" x14ac:dyDescent="0.2">
      <c r="P496" s="19"/>
    </row>
    <row r="497" spans="16:16" x14ac:dyDescent="0.2">
      <c r="P497" s="19"/>
    </row>
    <row r="498" spans="16:16" x14ac:dyDescent="0.2">
      <c r="P498" s="19"/>
    </row>
    <row r="499" spans="16:16" x14ac:dyDescent="0.2">
      <c r="P499" s="19"/>
    </row>
    <row r="500" spans="16:16" x14ac:dyDescent="0.2">
      <c r="P500" s="19"/>
    </row>
    <row r="501" spans="16:16" x14ac:dyDescent="0.2">
      <c r="P501" s="19"/>
    </row>
    <row r="502" spans="16:16" x14ac:dyDescent="0.2">
      <c r="P502" s="19"/>
    </row>
    <row r="503" spans="16:16" x14ac:dyDescent="0.2">
      <c r="P503" s="19"/>
    </row>
    <row r="504" spans="16:16" x14ac:dyDescent="0.2">
      <c r="P504" s="19"/>
    </row>
    <row r="505" spans="16:16" x14ac:dyDescent="0.2">
      <c r="P505" s="19"/>
    </row>
    <row r="506" spans="16:16" x14ac:dyDescent="0.2">
      <c r="P506" s="19"/>
    </row>
    <row r="507" spans="16:16" x14ac:dyDescent="0.2">
      <c r="P507" s="19"/>
    </row>
    <row r="508" spans="16:16" x14ac:dyDescent="0.2">
      <c r="P508" s="19"/>
    </row>
    <row r="509" spans="16:16" x14ac:dyDescent="0.2">
      <c r="P509" s="19"/>
    </row>
    <row r="510" spans="16:16" x14ac:dyDescent="0.2">
      <c r="P510" s="19"/>
    </row>
    <row r="511" spans="16:16" x14ac:dyDescent="0.2">
      <c r="P511" s="19"/>
    </row>
    <row r="512" spans="16:16" x14ac:dyDescent="0.2">
      <c r="P512" s="19"/>
    </row>
    <row r="513" spans="16:16" x14ac:dyDescent="0.2">
      <c r="P513" s="19"/>
    </row>
    <row r="514" spans="16:16" x14ac:dyDescent="0.2">
      <c r="P514" s="19"/>
    </row>
    <row r="515" spans="16:16" x14ac:dyDescent="0.2">
      <c r="P515" s="19"/>
    </row>
    <row r="516" spans="16:16" x14ac:dyDescent="0.2">
      <c r="P516" s="19"/>
    </row>
    <row r="517" spans="16:16" x14ac:dyDescent="0.2">
      <c r="P517" s="19"/>
    </row>
    <row r="518" spans="16:16" x14ac:dyDescent="0.2">
      <c r="P518" s="19"/>
    </row>
    <row r="519" spans="16:16" x14ac:dyDescent="0.2">
      <c r="P519" s="19"/>
    </row>
    <row r="520" spans="16:16" x14ac:dyDescent="0.2">
      <c r="P520" s="19"/>
    </row>
    <row r="521" spans="16:16" x14ac:dyDescent="0.2">
      <c r="P521" s="19"/>
    </row>
    <row r="522" spans="16:16" x14ac:dyDescent="0.2">
      <c r="P522" s="19"/>
    </row>
    <row r="523" spans="16:16" x14ac:dyDescent="0.2">
      <c r="P523" s="19"/>
    </row>
    <row r="524" spans="16:16" x14ac:dyDescent="0.2">
      <c r="P524" s="19"/>
    </row>
    <row r="525" spans="16:16" x14ac:dyDescent="0.2">
      <c r="P525" s="19"/>
    </row>
    <row r="526" spans="16:16" x14ac:dyDescent="0.2">
      <c r="P526" s="19"/>
    </row>
    <row r="527" spans="16:16" x14ac:dyDescent="0.2">
      <c r="P527" s="19"/>
    </row>
    <row r="528" spans="16:16" x14ac:dyDescent="0.2">
      <c r="P528" s="19"/>
    </row>
    <row r="529" spans="16:16" x14ac:dyDescent="0.2">
      <c r="P529" s="19"/>
    </row>
    <row r="530" spans="16:16" x14ac:dyDescent="0.2">
      <c r="P530" s="19"/>
    </row>
    <row r="531" spans="16:16" x14ac:dyDescent="0.2">
      <c r="P531" s="19"/>
    </row>
    <row r="532" spans="16:16" x14ac:dyDescent="0.2">
      <c r="P532" s="19"/>
    </row>
    <row r="533" spans="16:16" x14ac:dyDescent="0.2">
      <c r="P533" s="19"/>
    </row>
    <row r="534" spans="16:16" x14ac:dyDescent="0.2">
      <c r="P534" s="19"/>
    </row>
    <row r="535" spans="16:16" x14ac:dyDescent="0.2">
      <c r="P535" s="19"/>
    </row>
    <row r="536" spans="16:16" x14ac:dyDescent="0.2">
      <c r="P536" s="19"/>
    </row>
    <row r="537" spans="16:16" x14ac:dyDescent="0.2">
      <c r="P537" s="19"/>
    </row>
    <row r="538" spans="16:16" x14ac:dyDescent="0.2">
      <c r="P538" s="19"/>
    </row>
    <row r="539" spans="16:16" x14ac:dyDescent="0.2">
      <c r="P539" s="19"/>
    </row>
    <row r="540" spans="16:16" x14ac:dyDescent="0.2">
      <c r="P540" s="19"/>
    </row>
    <row r="541" spans="16:16" x14ac:dyDescent="0.2">
      <c r="P541" s="19"/>
    </row>
    <row r="542" spans="16:16" x14ac:dyDescent="0.2">
      <c r="P542" s="19"/>
    </row>
    <row r="543" spans="16:16" x14ac:dyDescent="0.2">
      <c r="P543" s="19"/>
    </row>
    <row r="544" spans="16:16" x14ac:dyDescent="0.2">
      <c r="P544" s="19"/>
    </row>
    <row r="545" spans="16:16" x14ac:dyDescent="0.2">
      <c r="P545" s="19"/>
    </row>
    <row r="546" spans="16:16" x14ac:dyDescent="0.2">
      <c r="P546" s="19"/>
    </row>
    <row r="547" spans="16:16" x14ac:dyDescent="0.2">
      <c r="P547" s="19"/>
    </row>
    <row r="548" spans="16:16" x14ac:dyDescent="0.2">
      <c r="P548" s="19"/>
    </row>
    <row r="549" spans="16:16" x14ac:dyDescent="0.2">
      <c r="P549" s="19"/>
    </row>
    <row r="550" spans="16:16" x14ac:dyDescent="0.2">
      <c r="P550" s="19"/>
    </row>
    <row r="551" spans="16:16" x14ac:dyDescent="0.2">
      <c r="P551" s="19"/>
    </row>
    <row r="552" spans="16:16" x14ac:dyDescent="0.2">
      <c r="P552" s="19"/>
    </row>
    <row r="553" spans="16:16" x14ac:dyDescent="0.2">
      <c r="P553" s="19"/>
    </row>
    <row r="554" spans="16:16" x14ac:dyDescent="0.2">
      <c r="P554" s="19"/>
    </row>
    <row r="555" spans="16:16" x14ac:dyDescent="0.2">
      <c r="P555" s="19"/>
    </row>
    <row r="556" spans="16:16" x14ac:dyDescent="0.2">
      <c r="P556" s="19"/>
    </row>
    <row r="557" spans="16:16" x14ac:dyDescent="0.2">
      <c r="P557" s="19"/>
    </row>
    <row r="558" spans="16:16" x14ac:dyDescent="0.2">
      <c r="P558" s="19"/>
    </row>
    <row r="559" spans="16:16" x14ac:dyDescent="0.2">
      <c r="P559" s="19"/>
    </row>
    <row r="560" spans="16:16" x14ac:dyDescent="0.2">
      <c r="P560" s="19"/>
    </row>
    <row r="561" spans="16:16" x14ac:dyDescent="0.2">
      <c r="P561" s="19"/>
    </row>
    <row r="562" spans="16:16" x14ac:dyDescent="0.2">
      <c r="P562" s="19"/>
    </row>
    <row r="563" spans="16:16" x14ac:dyDescent="0.2">
      <c r="P563" s="19"/>
    </row>
    <row r="564" spans="16:16" x14ac:dyDescent="0.2">
      <c r="P564" s="19"/>
    </row>
    <row r="565" spans="16:16" x14ac:dyDescent="0.2">
      <c r="P565" s="19"/>
    </row>
    <row r="566" spans="16:16" x14ac:dyDescent="0.2">
      <c r="P566" s="19"/>
    </row>
    <row r="567" spans="16:16" x14ac:dyDescent="0.2">
      <c r="P567" s="19"/>
    </row>
    <row r="568" spans="16:16" x14ac:dyDescent="0.2">
      <c r="P568" s="19"/>
    </row>
    <row r="569" spans="16:16" x14ac:dyDescent="0.2">
      <c r="P569" s="19"/>
    </row>
    <row r="570" spans="16:16" x14ac:dyDescent="0.2">
      <c r="P570" s="19"/>
    </row>
    <row r="571" spans="16:16" x14ac:dyDescent="0.2">
      <c r="P571" s="19"/>
    </row>
    <row r="572" spans="16:16" x14ac:dyDescent="0.2">
      <c r="P572" s="19"/>
    </row>
    <row r="573" spans="16:16" x14ac:dyDescent="0.2">
      <c r="P573" s="19"/>
    </row>
    <row r="574" spans="16:16" x14ac:dyDescent="0.2">
      <c r="P574" s="19"/>
    </row>
    <row r="575" spans="16:16" x14ac:dyDescent="0.2">
      <c r="P575" s="19"/>
    </row>
    <row r="576" spans="16:16" x14ac:dyDescent="0.2">
      <c r="P576" s="19"/>
    </row>
    <row r="577" spans="16:16" x14ac:dyDescent="0.2">
      <c r="P577" s="19"/>
    </row>
    <row r="578" spans="16:16" x14ac:dyDescent="0.2">
      <c r="P578" s="19"/>
    </row>
    <row r="579" spans="16:16" x14ac:dyDescent="0.2">
      <c r="P579" s="19"/>
    </row>
    <row r="580" spans="16:16" x14ac:dyDescent="0.2">
      <c r="P580" s="19"/>
    </row>
    <row r="581" spans="16:16" x14ac:dyDescent="0.2">
      <c r="P581" s="19"/>
    </row>
    <row r="582" spans="16:16" x14ac:dyDescent="0.2">
      <c r="P582" s="19"/>
    </row>
    <row r="583" spans="16:16" x14ac:dyDescent="0.2">
      <c r="P583" s="19"/>
    </row>
    <row r="584" spans="16:16" x14ac:dyDescent="0.2">
      <c r="P584" s="19"/>
    </row>
    <row r="585" spans="16:16" x14ac:dyDescent="0.2">
      <c r="P585" s="19"/>
    </row>
    <row r="586" spans="16:16" x14ac:dyDescent="0.2">
      <c r="P586" s="19"/>
    </row>
    <row r="587" spans="16:16" x14ac:dyDescent="0.2">
      <c r="P587" s="19"/>
    </row>
    <row r="588" spans="16:16" x14ac:dyDescent="0.2">
      <c r="P588" s="19"/>
    </row>
    <row r="589" spans="16:16" x14ac:dyDescent="0.2">
      <c r="P589" s="19"/>
    </row>
    <row r="590" spans="16:16" x14ac:dyDescent="0.2">
      <c r="P590" s="19"/>
    </row>
    <row r="591" spans="16:16" x14ac:dyDescent="0.2">
      <c r="P591" s="19"/>
    </row>
    <row r="592" spans="16:16" x14ac:dyDescent="0.2">
      <c r="P592" s="19"/>
    </row>
    <row r="593" spans="16:16" x14ac:dyDescent="0.2">
      <c r="P593" s="19"/>
    </row>
    <row r="594" spans="16:16" x14ac:dyDescent="0.2">
      <c r="P594" s="19"/>
    </row>
    <row r="595" spans="16:16" x14ac:dyDescent="0.2">
      <c r="P595" s="19"/>
    </row>
    <row r="596" spans="16:16" x14ac:dyDescent="0.2">
      <c r="P596" s="19"/>
    </row>
    <row r="597" spans="16:16" x14ac:dyDescent="0.2">
      <c r="P597" s="19"/>
    </row>
    <row r="598" spans="16:16" x14ac:dyDescent="0.2">
      <c r="P598" s="19"/>
    </row>
    <row r="599" spans="16:16" x14ac:dyDescent="0.2">
      <c r="P599" s="19"/>
    </row>
    <row r="600" spans="16:16" x14ac:dyDescent="0.2">
      <c r="P600" s="19"/>
    </row>
    <row r="601" spans="16:16" x14ac:dyDescent="0.2">
      <c r="P601" s="19"/>
    </row>
    <row r="602" spans="16:16" x14ac:dyDescent="0.2">
      <c r="P602" s="19"/>
    </row>
    <row r="603" spans="16:16" x14ac:dyDescent="0.2">
      <c r="P603" s="19"/>
    </row>
    <row r="604" spans="16:16" x14ac:dyDescent="0.2">
      <c r="P604" s="19"/>
    </row>
    <row r="605" spans="16:16" x14ac:dyDescent="0.2">
      <c r="P605" s="19"/>
    </row>
    <row r="606" spans="16:16" x14ac:dyDescent="0.2">
      <c r="P606" s="19"/>
    </row>
    <row r="607" spans="16:16" x14ac:dyDescent="0.2">
      <c r="P607" s="19"/>
    </row>
    <row r="608" spans="16:16" x14ac:dyDescent="0.2">
      <c r="P608" s="19"/>
    </row>
    <row r="609" spans="16:16" x14ac:dyDescent="0.2">
      <c r="P609" s="19"/>
    </row>
    <row r="610" spans="16:16" x14ac:dyDescent="0.2">
      <c r="P610" s="19"/>
    </row>
    <row r="611" spans="16:16" x14ac:dyDescent="0.2">
      <c r="P611" s="19"/>
    </row>
    <row r="612" spans="16:16" x14ac:dyDescent="0.2">
      <c r="P612" s="19"/>
    </row>
    <row r="613" spans="16:16" x14ac:dyDescent="0.2">
      <c r="P613" s="19"/>
    </row>
    <row r="614" spans="16:16" x14ac:dyDescent="0.2">
      <c r="P614" s="19"/>
    </row>
    <row r="615" spans="16:16" x14ac:dyDescent="0.2">
      <c r="P615" s="19"/>
    </row>
    <row r="616" spans="16:16" x14ac:dyDescent="0.2">
      <c r="P616" s="19"/>
    </row>
    <row r="617" spans="16:16" x14ac:dyDescent="0.2">
      <c r="P617" s="19"/>
    </row>
    <row r="618" spans="16:16" x14ac:dyDescent="0.2">
      <c r="P618" s="19"/>
    </row>
    <row r="619" spans="16:16" x14ac:dyDescent="0.2">
      <c r="P619" s="19"/>
    </row>
    <row r="620" spans="16:16" x14ac:dyDescent="0.2">
      <c r="P620" s="19"/>
    </row>
    <row r="621" spans="16:16" x14ac:dyDescent="0.2">
      <c r="P621" s="19"/>
    </row>
    <row r="622" spans="16:16" x14ac:dyDescent="0.2">
      <c r="P622" s="19"/>
    </row>
    <row r="623" spans="16:16" x14ac:dyDescent="0.2">
      <c r="P623" s="19"/>
    </row>
    <row r="624" spans="16:16" x14ac:dyDescent="0.2">
      <c r="P624" s="19"/>
    </row>
    <row r="625" spans="16:16" x14ac:dyDescent="0.2">
      <c r="P625" s="19"/>
    </row>
    <row r="626" spans="16:16" x14ac:dyDescent="0.2">
      <c r="P626" s="19"/>
    </row>
    <row r="627" spans="16:16" x14ac:dyDescent="0.2">
      <c r="P627" s="19"/>
    </row>
    <row r="628" spans="16:16" x14ac:dyDescent="0.2">
      <c r="P628" s="19"/>
    </row>
    <row r="629" spans="16:16" x14ac:dyDescent="0.2">
      <c r="P629" s="19"/>
    </row>
    <row r="630" spans="16:16" x14ac:dyDescent="0.2">
      <c r="P630" s="19"/>
    </row>
    <row r="631" spans="16:16" x14ac:dyDescent="0.2">
      <c r="P631" s="19"/>
    </row>
    <row r="632" spans="16:16" x14ac:dyDescent="0.2">
      <c r="P632" s="19"/>
    </row>
    <row r="633" spans="16:16" x14ac:dyDescent="0.2">
      <c r="P633" s="19"/>
    </row>
    <row r="634" spans="16:16" x14ac:dyDescent="0.2">
      <c r="P634" s="19"/>
    </row>
    <row r="635" spans="16:16" x14ac:dyDescent="0.2">
      <c r="P635" s="19"/>
    </row>
    <row r="636" spans="16:16" x14ac:dyDescent="0.2">
      <c r="P636" s="19"/>
    </row>
    <row r="637" spans="16:16" x14ac:dyDescent="0.2">
      <c r="P637" s="19"/>
    </row>
    <row r="638" spans="16:16" x14ac:dyDescent="0.2">
      <c r="P638" s="19"/>
    </row>
    <row r="639" spans="16:16" x14ac:dyDescent="0.2">
      <c r="P639" s="19"/>
    </row>
    <row r="640" spans="16:16" x14ac:dyDescent="0.2">
      <c r="P640" s="19"/>
    </row>
    <row r="641" spans="16:16" x14ac:dyDescent="0.2">
      <c r="P641" s="19"/>
    </row>
    <row r="642" spans="16:16" x14ac:dyDescent="0.2">
      <c r="P642" s="19"/>
    </row>
    <row r="643" spans="16:16" x14ac:dyDescent="0.2">
      <c r="P643" s="19"/>
    </row>
    <row r="644" spans="16:16" x14ac:dyDescent="0.2">
      <c r="P644" s="19"/>
    </row>
    <row r="645" spans="16:16" x14ac:dyDescent="0.2">
      <c r="P645" s="19"/>
    </row>
    <row r="646" spans="16:16" x14ac:dyDescent="0.2">
      <c r="P646" s="19"/>
    </row>
    <row r="647" spans="16:16" x14ac:dyDescent="0.2">
      <c r="P647" s="19"/>
    </row>
    <row r="648" spans="16:16" x14ac:dyDescent="0.2">
      <c r="P648" s="19"/>
    </row>
    <row r="649" spans="16:16" x14ac:dyDescent="0.2">
      <c r="P649" s="19"/>
    </row>
    <row r="650" spans="16:16" x14ac:dyDescent="0.2">
      <c r="P650" s="19"/>
    </row>
    <row r="651" spans="16:16" x14ac:dyDescent="0.2">
      <c r="P651" s="19"/>
    </row>
    <row r="652" spans="16:16" x14ac:dyDescent="0.2">
      <c r="P652" s="19"/>
    </row>
    <row r="653" spans="16:16" x14ac:dyDescent="0.2">
      <c r="P653" s="19"/>
    </row>
    <row r="654" spans="16:16" x14ac:dyDescent="0.2">
      <c r="P654" s="19"/>
    </row>
    <row r="655" spans="16:16" x14ac:dyDescent="0.2">
      <c r="P655" s="19"/>
    </row>
    <row r="656" spans="16:16" x14ac:dyDescent="0.2">
      <c r="P656" s="19"/>
    </row>
    <row r="657" spans="16:16" x14ac:dyDescent="0.2">
      <c r="P657" s="19"/>
    </row>
    <row r="658" spans="16:16" x14ac:dyDescent="0.2">
      <c r="P658" s="19"/>
    </row>
    <row r="659" spans="16:16" x14ac:dyDescent="0.2">
      <c r="P659" s="19"/>
    </row>
    <row r="660" spans="16:16" x14ac:dyDescent="0.2">
      <c r="P660" s="19"/>
    </row>
    <row r="661" spans="16:16" x14ac:dyDescent="0.2">
      <c r="P661" s="19"/>
    </row>
    <row r="662" spans="16:16" x14ac:dyDescent="0.2">
      <c r="P662" s="19"/>
    </row>
    <row r="663" spans="16:16" x14ac:dyDescent="0.2">
      <c r="P663" s="19"/>
    </row>
    <row r="664" spans="16:16" x14ac:dyDescent="0.2">
      <c r="P664" s="19"/>
    </row>
    <row r="665" spans="16:16" x14ac:dyDescent="0.2">
      <c r="P665" s="19"/>
    </row>
    <row r="666" spans="16:16" x14ac:dyDescent="0.2">
      <c r="P666" s="19"/>
    </row>
    <row r="667" spans="16:16" x14ac:dyDescent="0.2">
      <c r="P667" s="19"/>
    </row>
    <row r="668" spans="16:16" x14ac:dyDescent="0.2">
      <c r="P668" s="19"/>
    </row>
    <row r="669" spans="16:16" x14ac:dyDescent="0.2">
      <c r="P669" s="19"/>
    </row>
    <row r="670" spans="16:16" x14ac:dyDescent="0.2">
      <c r="P670" s="19"/>
    </row>
    <row r="671" spans="16:16" x14ac:dyDescent="0.2">
      <c r="P671" s="19"/>
    </row>
    <row r="672" spans="16:16" x14ac:dyDescent="0.2">
      <c r="P672" s="19"/>
    </row>
    <row r="673" spans="16:16" x14ac:dyDescent="0.2">
      <c r="P673" s="19"/>
    </row>
    <row r="674" spans="16:16" x14ac:dyDescent="0.2">
      <c r="P674" s="19"/>
    </row>
    <row r="675" spans="16:16" x14ac:dyDescent="0.2">
      <c r="P675" s="19"/>
    </row>
    <row r="676" spans="16:16" x14ac:dyDescent="0.2">
      <c r="P676" s="19"/>
    </row>
    <row r="677" spans="16:16" x14ac:dyDescent="0.2">
      <c r="P677" s="19"/>
    </row>
    <row r="678" spans="16:16" x14ac:dyDescent="0.2">
      <c r="P678" s="19"/>
    </row>
    <row r="679" spans="16:16" x14ac:dyDescent="0.2">
      <c r="P679" s="19"/>
    </row>
    <row r="680" spans="16:16" x14ac:dyDescent="0.2">
      <c r="P680" s="19"/>
    </row>
    <row r="681" spans="16:16" x14ac:dyDescent="0.2">
      <c r="P681" s="19"/>
    </row>
    <row r="682" spans="16:16" x14ac:dyDescent="0.2">
      <c r="P682" s="19"/>
    </row>
    <row r="683" spans="16:16" x14ac:dyDescent="0.2">
      <c r="P683" s="19"/>
    </row>
    <row r="684" spans="16:16" x14ac:dyDescent="0.2">
      <c r="P684" s="19"/>
    </row>
    <row r="685" spans="16:16" x14ac:dyDescent="0.2">
      <c r="P685" s="19"/>
    </row>
    <row r="686" spans="16:16" x14ac:dyDescent="0.2">
      <c r="P686" s="19"/>
    </row>
    <row r="687" spans="16:16" x14ac:dyDescent="0.2">
      <c r="P687" s="19"/>
    </row>
    <row r="688" spans="16:16" x14ac:dyDescent="0.2">
      <c r="P688" s="19"/>
    </row>
    <row r="689" spans="16:16" x14ac:dyDescent="0.2">
      <c r="P689" s="19"/>
    </row>
    <row r="690" spans="16:16" x14ac:dyDescent="0.2">
      <c r="P690" s="19"/>
    </row>
    <row r="691" spans="16:16" x14ac:dyDescent="0.2">
      <c r="P691" s="19"/>
    </row>
    <row r="692" spans="16:16" x14ac:dyDescent="0.2">
      <c r="P692" s="19"/>
    </row>
    <row r="693" spans="16:16" x14ac:dyDescent="0.2">
      <c r="P693" s="19"/>
    </row>
    <row r="694" spans="16:16" x14ac:dyDescent="0.2">
      <c r="P694" s="19"/>
    </row>
    <row r="695" spans="16:16" x14ac:dyDescent="0.2">
      <c r="P695" s="19"/>
    </row>
    <row r="696" spans="16:16" x14ac:dyDescent="0.2">
      <c r="P696" s="19"/>
    </row>
    <row r="697" spans="16:16" x14ac:dyDescent="0.2">
      <c r="P697" s="19"/>
    </row>
    <row r="698" spans="16:16" x14ac:dyDescent="0.2">
      <c r="P698" s="19"/>
    </row>
    <row r="699" spans="16:16" x14ac:dyDescent="0.2">
      <c r="P699" s="19"/>
    </row>
    <row r="700" spans="16:16" x14ac:dyDescent="0.2">
      <c r="P700" s="19"/>
    </row>
    <row r="701" spans="16:16" x14ac:dyDescent="0.2">
      <c r="P701" s="19"/>
    </row>
    <row r="702" spans="16:16" x14ac:dyDescent="0.2">
      <c r="P702" s="19"/>
    </row>
    <row r="703" spans="16:16" x14ac:dyDescent="0.2">
      <c r="P703" s="19"/>
    </row>
    <row r="704" spans="16:16" x14ac:dyDescent="0.2">
      <c r="P704" s="19"/>
    </row>
    <row r="705" spans="16:16" x14ac:dyDescent="0.2">
      <c r="P705" s="19"/>
    </row>
    <row r="706" spans="16:16" x14ac:dyDescent="0.2">
      <c r="P706" s="19"/>
    </row>
    <row r="707" spans="16:16" x14ac:dyDescent="0.2">
      <c r="P707" s="19"/>
    </row>
    <row r="708" spans="16:16" x14ac:dyDescent="0.2">
      <c r="P708" s="19"/>
    </row>
    <row r="709" spans="16:16" x14ac:dyDescent="0.2">
      <c r="P709" s="19"/>
    </row>
    <row r="710" spans="16:16" x14ac:dyDescent="0.2">
      <c r="P710" s="19"/>
    </row>
    <row r="711" spans="16:16" x14ac:dyDescent="0.2">
      <c r="P711" s="19"/>
    </row>
    <row r="712" spans="16:16" x14ac:dyDescent="0.2">
      <c r="P712" s="19"/>
    </row>
    <row r="713" spans="16:16" x14ac:dyDescent="0.2">
      <c r="P713" s="19"/>
    </row>
    <row r="714" spans="16:16" x14ac:dyDescent="0.2">
      <c r="P714" s="19"/>
    </row>
    <row r="715" spans="16:16" x14ac:dyDescent="0.2">
      <c r="P715" s="19"/>
    </row>
    <row r="716" spans="16:16" x14ac:dyDescent="0.2">
      <c r="P716" s="19"/>
    </row>
    <row r="717" spans="16:16" x14ac:dyDescent="0.2">
      <c r="P717" s="19"/>
    </row>
    <row r="718" spans="16:16" x14ac:dyDescent="0.2">
      <c r="P718" s="19"/>
    </row>
    <row r="719" spans="16:16" x14ac:dyDescent="0.2">
      <c r="P719" s="19"/>
    </row>
    <row r="720" spans="16:16" x14ac:dyDescent="0.2">
      <c r="P720" s="19"/>
    </row>
    <row r="721" spans="16:16" x14ac:dyDescent="0.2">
      <c r="P721" s="19"/>
    </row>
    <row r="722" spans="16:16" x14ac:dyDescent="0.2">
      <c r="P722" s="19"/>
    </row>
    <row r="723" spans="16:16" x14ac:dyDescent="0.2">
      <c r="P723" s="19"/>
    </row>
    <row r="724" spans="16:16" x14ac:dyDescent="0.2">
      <c r="P724" s="19"/>
    </row>
    <row r="725" spans="16:16" x14ac:dyDescent="0.2">
      <c r="P725" s="19"/>
    </row>
    <row r="726" spans="16:16" x14ac:dyDescent="0.2">
      <c r="P726" s="19"/>
    </row>
    <row r="727" spans="16:16" x14ac:dyDescent="0.2">
      <c r="P727" s="19"/>
    </row>
    <row r="728" spans="16:16" x14ac:dyDescent="0.2">
      <c r="P728" s="19"/>
    </row>
    <row r="729" spans="16:16" x14ac:dyDescent="0.2">
      <c r="P729" s="19"/>
    </row>
    <row r="730" spans="16:16" x14ac:dyDescent="0.2">
      <c r="P730" s="19"/>
    </row>
    <row r="731" spans="16:16" x14ac:dyDescent="0.2">
      <c r="P731" s="19"/>
    </row>
    <row r="732" spans="16:16" x14ac:dyDescent="0.2">
      <c r="P732" s="19"/>
    </row>
    <row r="733" spans="16:16" x14ac:dyDescent="0.2">
      <c r="P733" s="19"/>
    </row>
    <row r="734" spans="16:16" x14ac:dyDescent="0.2">
      <c r="P734" s="19"/>
    </row>
    <row r="735" spans="16:16" x14ac:dyDescent="0.2">
      <c r="P735" s="19"/>
    </row>
    <row r="736" spans="16:16" x14ac:dyDescent="0.2">
      <c r="P736" s="19"/>
    </row>
    <row r="737" spans="16:16" x14ac:dyDescent="0.2">
      <c r="P737" s="19"/>
    </row>
    <row r="738" spans="16:16" x14ac:dyDescent="0.2">
      <c r="P738" s="19"/>
    </row>
    <row r="739" spans="16:16" x14ac:dyDescent="0.2">
      <c r="P739" s="19"/>
    </row>
    <row r="740" spans="16:16" x14ac:dyDescent="0.2">
      <c r="P740" s="19"/>
    </row>
    <row r="741" spans="16:16" x14ac:dyDescent="0.2">
      <c r="P741" s="19"/>
    </row>
    <row r="742" spans="16:16" x14ac:dyDescent="0.2">
      <c r="P742" s="19"/>
    </row>
    <row r="743" spans="16:16" x14ac:dyDescent="0.2">
      <c r="P743" s="19"/>
    </row>
    <row r="744" spans="16:16" x14ac:dyDescent="0.2">
      <c r="P744" s="19"/>
    </row>
    <row r="745" spans="16:16" x14ac:dyDescent="0.2">
      <c r="P745" s="19"/>
    </row>
    <row r="746" spans="16:16" x14ac:dyDescent="0.2">
      <c r="P746" s="19"/>
    </row>
    <row r="747" spans="16:16" x14ac:dyDescent="0.2">
      <c r="P747" s="19"/>
    </row>
    <row r="748" spans="16:16" x14ac:dyDescent="0.2">
      <c r="P748" s="19"/>
    </row>
    <row r="749" spans="16:16" x14ac:dyDescent="0.2">
      <c r="P749" s="19"/>
    </row>
    <row r="750" spans="16:16" x14ac:dyDescent="0.2">
      <c r="P750" s="19"/>
    </row>
    <row r="751" spans="16:16" x14ac:dyDescent="0.2">
      <c r="P751" s="19"/>
    </row>
    <row r="752" spans="16:16" x14ac:dyDescent="0.2">
      <c r="P752" s="19"/>
    </row>
    <row r="753" spans="16:16" x14ac:dyDescent="0.2">
      <c r="P753" s="19"/>
    </row>
    <row r="754" spans="16:16" x14ac:dyDescent="0.2">
      <c r="P754" s="19"/>
    </row>
    <row r="755" spans="16:16" x14ac:dyDescent="0.2">
      <c r="P755" s="19"/>
    </row>
    <row r="756" spans="16:16" x14ac:dyDescent="0.2">
      <c r="P756" s="19"/>
    </row>
    <row r="757" spans="16:16" x14ac:dyDescent="0.2">
      <c r="P757" s="19"/>
    </row>
    <row r="758" spans="16:16" x14ac:dyDescent="0.2">
      <c r="P758" s="19"/>
    </row>
    <row r="759" spans="16:16" x14ac:dyDescent="0.2">
      <c r="P759" s="19"/>
    </row>
    <row r="760" spans="16:16" x14ac:dyDescent="0.2">
      <c r="P760" s="19"/>
    </row>
    <row r="761" spans="16:16" x14ac:dyDescent="0.2">
      <c r="P761" s="19"/>
    </row>
    <row r="762" spans="16:16" x14ac:dyDescent="0.2">
      <c r="P762" s="19"/>
    </row>
    <row r="763" spans="16:16" x14ac:dyDescent="0.2">
      <c r="P763" s="19"/>
    </row>
    <row r="764" spans="16:16" x14ac:dyDescent="0.2">
      <c r="P764" s="19"/>
    </row>
    <row r="765" spans="16:16" x14ac:dyDescent="0.2">
      <c r="P765" s="19"/>
    </row>
    <row r="766" spans="16:16" x14ac:dyDescent="0.2">
      <c r="P766" s="19"/>
    </row>
    <row r="767" spans="16:16" x14ac:dyDescent="0.2">
      <c r="P767" s="19"/>
    </row>
    <row r="768" spans="16:16" x14ac:dyDescent="0.2">
      <c r="P768" s="19"/>
    </row>
    <row r="769" spans="16:16" x14ac:dyDescent="0.2">
      <c r="P769" s="19"/>
    </row>
    <row r="770" spans="16:16" x14ac:dyDescent="0.2">
      <c r="P770" s="19"/>
    </row>
    <row r="771" spans="16:16" x14ac:dyDescent="0.2">
      <c r="P771" s="19"/>
    </row>
    <row r="772" spans="16:16" x14ac:dyDescent="0.2">
      <c r="P772" s="19"/>
    </row>
    <row r="773" spans="16:16" x14ac:dyDescent="0.2">
      <c r="P773" s="19"/>
    </row>
    <row r="774" spans="16:16" x14ac:dyDescent="0.2">
      <c r="P774" s="19"/>
    </row>
    <row r="775" spans="16:16" x14ac:dyDescent="0.2">
      <c r="P775" s="19"/>
    </row>
    <row r="776" spans="16:16" x14ac:dyDescent="0.2">
      <c r="P776" s="19"/>
    </row>
    <row r="777" spans="16:16" x14ac:dyDescent="0.2">
      <c r="P777" s="19"/>
    </row>
    <row r="778" spans="16:16" x14ac:dyDescent="0.2">
      <c r="P778" s="19"/>
    </row>
    <row r="779" spans="16:16" x14ac:dyDescent="0.2">
      <c r="P779" s="19"/>
    </row>
    <row r="780" spans="16:16" x14ac:dyDescent="0.2">
      <c r="P780" s="19"/>
    </row>
    <row r="781" spans="16:16" x14ac:dyDescent="0.2">
      <c r="P781" s="19"/>
    </row>
    <row r="782" spans="16:16" x14ac:dyDescent="0.2">
      <c r="P782" s="19"/>
    </row>
    <row r="783" spans="16:16" x14ac:dyDescent="0.2">
      <c r="P783" s="19"/>
    </row>
    <row r="784" spans="16:16" x14ac:dyDescent="0.2">
      <c r="P784" s="19"/>
    </row>
    <row r="785" spans="16:16" x14ac:dyDescent="0.2">
      <c r="P785" s="19"/>
    </row>
    <row r="786" spans="16:16" x14ac:dyDescent="0.2">
      <c r="P786" s="19"/>
    </row>
    <row r="787" spans="16:16" x14ac:dyDescent="0.2">
      <c r="P787" s="19"/>
    </row>
    <row r="788" spans="16:16" x14ac:dyDescent="0.2">
      <c r="P788" s="19"/>
    </row>
    <row r="789" spans="16:16" x14ac:dyDescent="0.2">
      <c r="P789" s="19"/>
    </row>
    <row r="790" spans="16:16" x14ac:dyDescent="0.2">
      <c r="P790" s="19"/>
    </row>
    <row r="791" spans="16:16" x14ac:dyDescent="0.2">
      <c r="P791" s="19"/>
    </row>
    <row r="792" spans="16:16" x14ac:dyDescent="0.2">
      <c r="P792" s="19"/>
    </row>
    <row r="793" spans="16:16" x14ac:dyDescent="0.2">
      <c r="P793" s="19"/>
    </row>
    <row r="794" spans="16:16" x14ac:dyDescent="0.2">
      <c r="P794" s="19"/>
    </row>
    <row r="795" spans="16:16" x14ac:dyDescent="0.2">
      <c r="P795" s="19"/>
    </row>
    <row r="796" spans="16:16" x14ac:dyDescent="0.2">
      <c r="P796" s="19"/>
    </row>
    <row r="797" spans="16:16" x14ac:dyDescent="0.2">
      <c r="P797" s="19"/>
    </row>
    <row r="798" spans="16:16" x14ac:dyDescent="0.2">
      <c r="P798" s="19"/>
    </row>
    <row r="799" spans="16:16" x14ac:dyDescent="0.2">
      <c r="P799" s="19"/>
    </row>
    <row r="800" spans="16:16" x14ac:dyDescent="0.2">
      <c r="P800" s="19"/>
    </row>
    <row r="801" spans="16:16" x14ac:dyDescent="0.2">
      <c r="P801" s="19"/>
    </row>
    <row r="802" spans="16:16" x14ac:dyDescent="0.2">
      <c r="P802" s="19"/>
    </row>
    <row r="803" spans="16:16" x14ac:dyDescent="0.2">
      <c r="P803" s="19"/>
    </row>
    <row r="804" spans="16:16" x14ac:dyDescent="0.2">
      <c r="P804" s="19"/>
    </row>
    <row r="805" spans="16:16" x14ac:dyDescent="0.2">
      <c r="P805" s="19"/>
    </row>
    <row r="806" spans="16:16" x14ac:dyDescent="0.2">
      <c r="P806" s="19"/>
    </row>
    <row r="807" spans="16:16" x14ac:dyDescent="0.2">
      <c r="P807" s="19"/>
    </row>
    <row r="808" spans="16:16" x14ac:dyDescent="0.2">
      <c r="P808" s="19"/>
    </row>
    <row r="809" spans="16:16" x14ac:dyDescent="0.2">
      <c r="P809" s="19"/>
    </row>
    <row r="810" spans="16:16" x14ac:dyDescent="0.2">
      <c r="P810" s="19"/>
    </row>
    <row r="811" spans="16:16" x14ac:dyDescent="0.2">
      <c r="P811" s="19"/>
    </row>
    <row r="812" spans="16:16" x14ac:dyDescent="0.2">
      <c r="P812" s="19"/>
    </row>
    <row r="813" spans="16:16" x14ac:dyDescent="0.2">
      <c r="P813" s="19"/>
    </row>
    <row r="814" spans="16:16" x14ac:dyDescent="0.2">
      <c r="P814" s="19"/>
    </row>
    <row r="815" spans="16:16" x14ac:dyDescent="0.2">
      <c r="P815" s="19"/>
    </row>
    <row r="816" spans="16:16" x14ac:dyDescent="0.2">
      <c r="P816" s="19"/>
    </row>
    <row r="817" spans="16:16" x14ac:dyDescent="0.2">
      <c r="P817" s="19"/>
    </row>
    <row r="818" spans="16:16" x14ac:dyDescent="0.2">
      <c r="P818" s="19"/>
    </row>
    <row r="819" spans="16:16" x14ac:dyDescent="0.2">
      <c r="P819" s="19"/>
    </row>
    <row r="820" spans="16:16" x14ac:dyDescent="0.2">
      <c r="P820" s="19"/>
    </row>
    <row r="821" spans="16:16" x14ac:dyDescent="0.2">
      <c r="P821" s="19"/>
    </row>
    <row r="822" spans="16:16" x14ac:dyDescent="0.2">
      <c r="P822" s="19"/>
    </row>
    <row r="823" spans="16:16" x14ac:dyDescent="0.2">
      <c r="P823" s="19"/>
    </row>
    <row r="824" spans="16:16" x14ac:dyDescent="0.2">
      <c r="P824" s="19"/>
    </row>
    <row r="825" spans="16:16" x14ac:dyDescent="0.2">
      <c r="P825" s="19"/>
    </row>
    <row r="826" spans="16:16" x14ac:dyDescent="0.2">
      <c r="P826" s="19"/>
    </row>
    <row r="827" spans="16:16" x14ac:dyDescent="0.2">
      <c r="P827" s="19"/>
    </row>
    <row r="828" spans="16:16" x14ac:dyDescent="0.2">
      <c r="P828" s="19"/>
    </row>
    <row r="829" spans="16:16" x14ac:dyDescent="0.2">
      <c r="P829" s="19"/>
    </row>
    <row r="830" spans="16:16" x14ac:dyDescent="0.2">
      <c r="P830" s="19"/>
    </row>
    <row r="831" spans="16:16" x14ac:dyDescent="0.2">
      <c r="P831" s="19"/>
    </row>
    <row r="832" spans="16:16" x14ac:dyDescent="0.2">
      <c r="P832" s="19"/>
    </row>
    <row r="833" spans="16:16" x14ac:dyDescent="0.2">
      <c r="P833" s="19"/>
    </row>
    <row r="834" spans="16:16" x14ac:dyDescent="0.2">
      <c r="P834" s="19"/>
    </row>
    <row r="835" spans="16:16" x14ac:dyDescent="0.2">
      <c r="P835" s="19"/>
    </row>
    <row r="836" spans="16:16" x14ac:dyDescent="0.2">
      <c r="P836" s="19"/>
    </row>
    <row r="837" spans="16:16" x14ac:dyDescent="0.2">
      <c r="P837" s="19"/>
    </row>
    <row r="838" spans="16:16" x14ac:dyDescent="0.2">
      <c r="P838" s="19"/>
    </row>
    <row r="839" spans="16:16" x14ac:dyDescent="0.2">
      <c r="P839" s="19"/>
    </row>
    <row r="840" spans="16:16" x14ac:dyDescent="0.2">
      <c r="P840" s="19"/>
    </row>
    <row r="841" spans="16:16" x14ac:dyDescent="0.2">
      <c r="P841" s="19"/>
    </row>
    <row r="842" spans="16:16" x14ac:dyDescent="0.2">
      <c r="P842" s="19"/>
    </row>
    <row r="843" spans="16:16" x14ac:dyDescent="0.2">
      <c r="P843" s="19"/>
    </row>
    <row r="844" spans="16:16" x14ac:dyDescent="0.2">
      <c r="P844" s="19"/>
    </row>
    <row r="845" spans="16:16" x14ac:dyDescent="0.2">
      <c r="P845" s="19"/>
    </row>
    <row r="846" spans="16:16" x14ac:dyDescent="0.2">
      <c r="P846" s="19"/>
    </row>
    <row r="847" spans="16:16" x14ac:dyDescent="0.2">
      <c r="P847" s="19"/>
    </row>
    <row r="848" spans="16:16" x14ac:dyDescent="0.2">
      <c r="P848" s="19"/>
    </row>
    <row r="849" spans="16:16" x14ac:dyDescent="0.2">
      <c r="P849" s="19"/>
    </row>
    <row r="850" spans="16:16" x14ac:dyDescent="0.2">
      <c r="P850" s="19"/>
    </row>
    <row r="851" spans="16:16" x14ac:dyDescent="0.2">
      <c r="P851" s="19"/>
    </row>
    <row r="852" spans="16:16" x14ac:dyDescent="0.2">
      <c r="P852" s="19"/>
    </row>
    <row r="853" spans="16:16" x14ac:dyDescent="0.2">
      <c r="P853" s="19"/>
    </row>
    <row r="854" spans="16:16" x14ac:dyDescent="0.2">
      <c r="P854" s="19"/>
    </row>
    <row r="855" spans="16:16" x14ac:dyDescent="0.2">
      <c r="P855" s="19"/>
    </row>
    <row r="856" spans="16:16" x14ac:dyDescent="0.2">
      <c r="P856" s="19"/>
    </row>
    <row r="857" spans="16:16" x14ac:dyDescent="0.2">
      <c r="P857" s="19"/>
    </row>
    <row r="858" spans="16:16" x14ac:dyDescent="0.2">
      <c r="P858" s="19"/>
    </row>
    <row r="859" spans="16:16" x14ac:dyDescent="0.2">
      <c r="P859" s="19"/>
    </row>
    <row r="860" spans="16:16" x14ac:dyDescent="0.2">
      <c r="P860" s="19"/>
    </row>
    <row r="861" spans="16:16" x14ac:dyDescent="0.2">
      <c r="P861" s="19"/>
    </row>
    <row r="862" spans="16:16" x14ac:dyDescent="0.2">
      <c r="P862" s="19"/>
    </row>
    <row r="863" spans="16:16" x14ac:dyDescent="0.2">
      <c r="P863" s="19"/>
    </row>
    <row r="864" spans="16:16" x14ac:dyDescent="0.2">
      <c r="P864" s="19"/>
    </row>
    <row r="865" spans="16:16" x14ac:dyDescent="0.2">
      <c r="P865" s="19"/>
    </row>
    <row r="866" spans="16:16" x14ac:dyDescent="0.2">
      <c r="P866" s="19"/>
    </row>
    <row r="867" spans="16:16" x14ac:dyDescent="0.2">
      <c r="P867" s="19"/>
    </row>
    <row r="868" spans="16:16" x14ac:dyDescent="0.2">
      <c r="P868" s="19"/>
    </row>
    <row r="869" spans="16:16" x14ac:dyDescent="0.2">
      <c r="P869" s="19"/>
    </row>
    <row r="870" spans="16:16" x14ac:dyDescent="0.2">
      <c r="P870" s="19"/>
    </row>
    <row r="871" spans="16:16" x14ac:dyDescent="0.2">
      <c r="P871" s="19"/>
    </row>
    <row r="872" spans="16:16" x14ac:dyDescent="0.2">
      <c r="P872" s="19"/>
    </row>
    <row r="873" spans="16:16" x14ac:dyDescent="0.2">
      <c r="P873" s="19"/>
    </row>
    <row r="874" spans="16:16" x14ac:dyDescent="0.2">
      <c r="P874" s="19"/>
    </row>
    <row r="875" spans="16:16" x14ac:dyDescent="0.2">
      <c r="P875" s="19"/>
    </row>
    <row r="876" spans="16:16" x14ac:dyDescent="0.2">
      <c r="P876" s="19"/>
    </row>
    <row r="877" spans="16:16" x14ac:dyDescent="0.2">
      <c r="P877" s="19"/>
    </row>
    <row r="878" spans="16:16" x14ac:dyDescent="0.2">
      <c r="P878" s="19"/>
    </row>
    <row r="879" spans="16:16" x14ac:dyDescent="0.2">
      <c r="P879" s="19"/>
    </row>
    <row r="880" spans="16:16" x14ac:dyDescent="0.2">
      <c r="P880" s="19"/>
    </row>
    <row r="881" spans="16:16" x14ac:dyDescent="0.2">
      <c r="P881" s="19"/>
    </row>
    <row r="882" spans="16:16" x14ac:dyDescent="0.2">
      <c r="P882" s="19"/>
    </row>
    <row r="883" spans="16:16" x14ac:dyDescent="0.2">
      <c r="P883" s="19"/>
    </row>
    <row r="884" spans="16:16" x14ac:dyDescent="0.2">
      <c r="P884" s="19"/>
    </row>
    <row r="885" spans="16:16" x14ac:dyDescent="0.2">
      <c r="P885" s="19"/>
    </row>
    <row r="886" spans="16:16" x14ac:dyDescent="0.2">
      <c r="P886" s="19"/>
    </row>
    <row r="887" spans="16:16" x14ac:dyDescent="0.2">
      <c r="P887" s="19"/>
    </row>
    <row r="888" spans="16:16" x14ac:dyDescent="0.2">
      <c r="P888" s="19"/>
    </row>
    <row r="889" spans="16:16" x14ac:dyDescent="0.2">
      <c r="P889" s="19"/>
    </row>
    <row r="890" spans="16:16" x14ac:dyDescent="0.2">
      <c r="P890" s="19"/>
    </row>
    <row r="891" spans="16:16" x14ac:dyDescent="0.2">
      <c r="P891" s="19"/>
    </row>
    <row r="892" spans="16:16" x14ac:dyDescent="0.2">
      <c r="P892" s="19"/>
    </row>
    <row r="893" spans="16:16" x14ac:dyDescent="0.2">
      <c r="P893" s="19"/>
    </row>
    <row r="894" spans="16:16" x14ac:dyDescent="0.2">
      <c r="P894" s="19"/>
    </row>
    <row r="895" spans="16:16" x14ac:dyDescent="0.2">
      <c r="P895" s="19"/>
    </row>
    <row r="896" spans="16:16" x14ac:dyDescent="0.2">
      <c r="P896" s="19"/>
    </row>
    <row r="897" spans="16:16" x14ac:dyDescent="0.2">
      <c r="P897" s="19"/>
    </row>
    <row r="898" spans="16:16" x14ac:dyDescent="0.2">
      <c r="P898" s="19"/>
    </row>
    <row r="899" spans="16:16" x14ac:dyDescent="0.2">
      <c r="P899" s="19"/>
    </row>
    <row r="900" spans="16:16" x14ac:dyDescent="0.2">
      <c r="P900" s="19"/>
    </row>
    <row r="901" spans="16:16" x14ac:dyDescent="0.2">
      <c r="P901" s="19"/>
    </row>
    <row r="902" spans="16:16" x14ac:dyDescent="0.2">
      <c r="P902" s="19"/>
    </row>
    <row r="903" spans="16:16" x14ac:dyDescent="0.2">
      <c r="P903" s="19"/>
    </row>
    <row r="904" spans="16:16" x14ac:dyDescent="0.2">
      <c r="P904" s="19"/>
    </row>
    <row r="905" spans="16:16" x14ac:dyDescent="0.2">
      <c r="P905" s="19"/>
    </row>
    <row r="906" spans="16:16" x14ac:dyDescent="0.2">
      <c r="P906" s="19"/>
    </row>
    <row r="907" spans="16:16" x14ac:dyDescent="0.2">
      <c r="P907" s="19"/>
    </row>
    <row r="908" spans="16:16" x14ac:dyDescent="0.2">
      <c r="P908" s="19"/>
    </row>
    <row r="909" spans="16:16" x14ac:dyDescent="0.2">
      <c r="P909" s="19"/>
    </row>
    <row r="910" spans="16:16" x14ac:dyDescent="0.2">
      <c r="P910" s="19"/>
    </row>
    <row r="911" spans="16:16" x14ac:dyDescent="0.2">
      <c r="P911" s="19"/>
    </row>
    <row r="912" spans="16:16" x14ac:dyDescent="0.2">
      <c r="P912" s="19"/>
    </row>
    <row r="913" spans="16:16" x14ac:dyDescent="0.2">
      <c r="P913" s="19"/>
    </row>
    <row r="914" spans="16:16" x14ac:dyDescent="0.2">
      <c r="P914" s="19"/>
    </row>
    <row r="915" spans="16:16" x14ac:dyDescent="0.2">
      <c r="P915" s="19"/>
    </row>
    <row r="916" spans="16:16" x14ac:dyDescent="0.2">
      <c r="P916" s="19"/>
    </row>
    <row r="917" spans="16:16" x14ac:dyDescent="0.2">
      <c r="P917" s="19"/>
    </row>
    <row r="918" spans="16:16" x14ac:dyDescent="0.2">
      <c r="P918" s="19"/>
    </row>
    <row r="919" spans="16:16" x14ac:dyDescent="0.2">
      <c r="P919" s="19"/>
    </row>
    <row r="920" spans="16:16" x14ac:dyDescent="0.2">
      <c r="P920" s="19"/>
    </row>
    <row r="921" spans="16:16" x14ac:dyDescent="0.2">
      <c r="P921" s="19"/>
    </row>
    <row r="922" spans="16:16" x14ac:dyDescent="0.2">
      <c r="P922" s="19"/>
    </row>
    <row r="923" spans="16:16" x14ac:dyDescent="0.2">
      <c r="P923" s="19"/>
    </row>
    <row r="924" spans="16:16" x14ac:dyDescent="0.2">
      <c r="P924" s="19"/>
    </row>
    <row r="925" spans="16:16" x14ac:dyDescent="0.2">
      <c r="P925" s="19"/>
    </row>
    <row r="926" spans="16:16" x14ac:dyDescent="0.2">
      <c r="P926" s="19"/>
    </row>
    <row r="927" spans="16:16" x14ac:dyDescent="0.2">
      <c r="P927" s="19"/>
    </row>
    <row r="928" spans="16:16" x14ac:dyDescent="0.2">
      <c r="P928" s="19"/>
    </row>
    <row r="929" spans="16:16" x14ac:dyDescent="0.2">
      <c r="P929" s="19"/>
    </row>
    <row r="930" spans="16:16" x14ac:dyDescent="0.2">
      <c r="P930" s="19"/>
    </row>
    <row r="931" spans="16:16" x14ac:dyDescent="0.2">
      <c r="P931" s="19"/>
    </row>
    <row r="932" spans="16:16" x14ac:dyDescent="0.2">
      <c r="P932" s="19"/>
    </row>
    <row r="933" spans="16:16" x14ac:dyDescent="0.2">
      <c r="P933" s="19"/>
    </row>
    <row r="934" spans="16:16" x14ac:dyDescent="0.2">
      <c r="P934" s="19"/>
    </row>
    <row r="935" spans="16:16" x14ac:dyDescent="0.2">
      <c r="P935" s="19"/>
    </row>
    <row r="936" spans="16:16" x14ac:dyDescent="0.2">
      <c r="P936" s="19"/>
    </row>
    <row r="937" spans="16:16" x14ac:dyDescent="0.2">
      <c r="P937" s="19"/>
    </row>
    <row r="938" spans="16:16" x14ac:dyDescent="0.2">
      <c r="P938" s="19"/>
    </row>
    <row r="939" spans="16:16" x14ac:dyDescent="0.2">
      <c r="P939" s="19"/>
    </row>
    <row r="940" spans="16:16" x14ac:dyDescent="0.2">
      <c r="P940" s="19"/>
    </row>
    <row r="941" spans="16:16" x14ac:dyDescent="0.2">
      <c r="P941" s="19"/>
    </row>
    <row r="942" spans="16:16" x14ac:dyDescent="0.2">
      <c r="P942" s="19"/>
    </row>
    <row r="943" spans="16:16" x14ac:dyDescent="0.2">
      <c r="P943" s="19"/>
    </row>
    <row r="944" spans="16:16" x14ac:dyDescent="0.2">
      <c r="P944" s="19"/>
    </row>
    <row r="945" spans="16:16" x14ac:dyDescent="0.2">
      <c r="P945" s="19"/>
    </row>
    <row r="946" spans="16:16" x14ac:dyDescent="0.2">
      <c r="P946" s="19"/>
    </row>
    <row r="947" spans="16:16" x14ac:dyDescent="0.2">
      <c r="P947" s="19"/>
    </row>
    <row r="948" spans="16:16" x14ac:dyDescent="0.2">
      <c r="P948" s="19"/>
    </row>
    <row r="949" spans="16:16" x14ac:dyDescent="0.2">
      <c r="P949" s="19"/>
    </row>
    <row r="950" spans="16:16" x14ac:dyDescent="0.2">
      <c r="P950" s="19"/>
    </row>
    <row r="951" spans="16:16" x14ac:dyDescent="0.2">
      <c r="P951" s="19"/>
    </row>
    <row r="952" spans="16:16" x14ac:dyDescent="0.2">
      <c r="P952" s="19"/>
    </row>
    <row r="953" spans="16:16" x14ac:dyDescent="0.2">
      <c r="P953" s="19"/>
    </row>
    <row r="954" spans="16:16" x14ac:dyDescent="0.2">
      <c r="P954" s="19"/>
    </row>
    <row r="955" spans="16:16" x14ac:dyDescent="0.2">
      <c r="P955" s="19"/>
    </row>
    <row r="956" spans="16:16" x14ac:dyDescent="0.2">
      <c r="P956" s="19"/>
    </row>
    <row r="957" spans="16:16" x14ac:dyDescent="0.2">
      <c r="P957" s="19"/>
    </row>
    <row r="958" spans="16:16" x14ac:dyDescent="0.2">
      <c r="P958" s="19"/>
    </row>
    <row r="959" spans="16:16" x14ac:dyDescent="0.2">
      <c r="P959" s="19"/>
    </row>
    <row r="960" spans="16:16" x14ac:dyDescent="0.2">
      <c r="P960" s="19"/>
    </row>
    <row r="961" spans="16:16" x14ac:dyDescent="0.2">
      <c r="P961" s="19"/>
    </row>
    <row r="962" spans="16:16" x14ac:dyDescent="0.2">
      <c r="P962" s="19"/>
    </row>
    <row r="963" spans="16:16" x14ac:dyDescent="0.2">
      <c r="P963" s="19"/>
    </row>
    <row r="964" spans="16:16" x14ac:dyDescent="0.2">
      <c r="P964" s="19"/>
    </row>
    <row r="965" spans="16:16" x14ac:dyDescent="0.2">
      <c r="P965" s="19"/>
    </row>
    <row r="966" spans="16:16" x14ac:dyDescent="0.2">
      <c r="P966" s="19"/>
    </row>
    <row r="967" spans="16:16" x14ac:dyDescent="0.2">
      <c r="P967" s="19"/>
    </row>
    <row r="968" spans="16:16" x14ac:dyDescent="0.2">
      <c r="P968" s="19"/>
    </row>
    <row r="969" spans="16:16" x14ac:dyDescent="0.2">
      <c r="P969" s="19"/>
    </row>
    <row r="970" spans="16:16" x14ac:dyDescent="0.2">
      <c r="P970" s="19"/>
    </row>
    <row r="971" spans="16:16" x14ac:dyDescent="0.2">
      <c r="P971" s="19"/>
    </row>
    <row r="972" spans="16:16" x14ac:dyDescent="0.2">
      <c r="P972" s="19"/>
    </row>
    <row r="973" spans="16:16" x14ac:dyDescent="0.2">
      <c r="P973" s="19"/>
    </row>
    <row r="974" spans="16:16" x14ac:dyDescent="0.2">
      <c r="P974" s="19"/>
    </row>
    <row r="975" spans="16:16" x14ac:dyDescent="0.2">
      <c r="P975" s="19"/>
    </row>
    <row r="976" spans="16:16" x14ac:dyDescent="0.2">
      <c r="P976" s="19"/>
    </row>
    <row r="977" spans="16:16" x14ac:dyDescent="0.2">
      <c r="P977" s="19"/>
    </row>
    <row r="978" spans="16:16" x14ac:dyDescent="0.2">
      <c r="P978" s="19"/>
    </row>
    <row r="979" spans="16:16" x14ac:dyDescent="0.2">
      <c r="P979" s="19"/>
    </row>
    <row r="980" spans="16:16" x14ac:dyDescent="0.2">
      <c r="P980" s="19"/>
    </row>
    <row r="981" spans="16:16" x14ac:dyDescent="0.2">
      <c r="P981" s="19"/>
    </row>
    <row r="982" spans="16:16" x14ac:dyDescent="0.2">
      <c r="P982" s="19"/>
    </row>
    <row r="983" spans="16:16" x14ac:dyDescent="0.2">
      <c r="P983" s="19"/>
    </row>
    <row r="984" spans="16:16" x14ac:dyDescent="0.2">
      <c r="P984" s="19"/>
    </row>
    <row r="985" spans="16:16" x14ac:dyDescent="0.2">
      <c r="P985" s="19"/>
    </row>
    <row r="986" spans="16:16" x14ac:dyDescent="0.2">
      <c r="P986" s="19"/>
    </row>
    <row r="987" spans="16:16" x14ac:dyDescent="0.2">
      <c r="P987" s="19"/>
    </row>
    <row r="988" spans="16:16" x14ac:dyDescent="0.2">
      <c r="P988" s="19"/>
    </row>
    <row r="989" spans="16:16" x14ac:dyDescent="0.2">
      <c r="P989" s="19"/>
    </row>
    <row r="990" spans="16:16" x14ac:dyDescent="0.2">
      <c r="P990" s="19"/>
    </row>
    <row r="991" spans="16:16" x14ac:dyDescent="0.2">
      <c r="P991" s="19"/>
    </row>
    <row r="992" spans="16:16" x14ac:dyDescent="0.2">
      <c r="P992" s="19"/>
    </row>
    <row r="993" spans="16:16" x14ac:dyDescent="0.2">
      <c r="P993" s="19"/>
    </row>
    <row r="994" spans="16:16" x14ac:dyDescent="0.2">
      <c r="P994" s="19"/>
    </row>
    <row r="995" spans="16:16" x14ac:dyDescent="0.2">
      <c r="P995" s="19"/>
    </row>
    <row r="996" spans="16:16" x14ac:dyDescent="0.2">
      <c r="P996" s="19"/>
    </row>
    <row r="997" spans="16:16" x14ac:dyDescent="0.2">
      <c r="P997" s="19"/>
    </row>
    <row r="998" spans="16:16" x14ac:dyDescent="0.2">
      <c r="P998" s="19"/>
    </row>
    <row r="999" spans="16:16" x14ac:dyDescent="0.2">
      <c r="P999" s="19"/>
    </row>
    <row r="1000" spans="16:16" x14ac:dyDescent="0.2">
      <c r="P1000" s="19"/>
    </row>
    <row r="1001" spans="16:16" x14ac:dyDescent="0.2">
      <c r="P1001" s="19"/>
    </row>
    <row r="1002" spans="16:16" x14ac:dyDescent="0.2">
      <c r="P1002" s="19"/>
    </row>
    <row r="1003" spans="16:16" x14ac:dyDescent="0.2">
      <c r="P1003" s="19"/>
    </row>
    <row r="1004" spans="16:16" x14ac:dyDescent="0.2">
      <c r="P1004" s="19"/>
    </row>
    <row r="1005" spans="16:16" x14ac:dyDescent="0.2">
      <c r="P1005" s="19"/>
    </row>
    <row r="1006" spans="16:16" x14ac:dyDescent="0.2">
      <c r="P1006" s="19"/>
    </row>
    <row r="1007" spans="16:16" x14ac:dyDescent="0.2">
      <c r="P1007" s="19"/>
    </row>
    <row r="1008" spans="16:16" x14ac:dyDescent="0.2">
      <c r="P1008" s="19"/>
    </row>
    <row r="1009" spans="16:16" x14ac:dyDescent="0.2">
      <c r="P1009" s="19"/>
    </row>
    <row r="1010" spans="16:16" x14ac:dyDescent="0.2">
      <c r="P1010" s="19"/>
    </row>
    <row r="1011" spans="16:16" x14ac:dyDescent="0.2">
      <c r="P1011" s="19"/>
    </row>
    <row r="1012" spans="16:16" x14ac:dyDescent="0.2">
      <c r="P1012" s="19"/>
    </row>
    <row r="1013" spans="16:16" x14ac:dyDescent="0.2">
      <c r="P1013" s="19"/>
    </row>
    <row r="1014" spans="16:16" x14ac:dyDescent="0.2">
      <c r="P1014" s="19"/>
    </row>
    <row r="1015" spans="16:16" x14ac:dyDescent="0.2">
      <c r="P1015" s="19"/>
    </row>
    <row r="1016" spans="16:16" x14ac:dyDescent="0.2">
      <c r="P1016" s="19"/>
    </row>
    <row r="1017" spans="16:16" x14ac:dyDescent="0.2">
      <c r="P1017" s="19"/>
    </row>
    <row r="1018" spans="16:16" x14ac:dyDescent="0.2">
      <c r="P1018" s="19"/>
    </row>
    <row r="1019" spans="16:16" x14ac:dyDescent="0.2">
      <c r="P1019" s="19"/>
    </row>
    <row r="1020" spans="16:16" x14ac:dyDescent="0.2">
      <c r="P1020" s="19"/>
    </row>
    <row r="1021" spans="16:16" x14ac:dyDescent="0.2">
      <c r="P1021" s="19"/>
    </row>
    <row r="1022" spans="16:16" x14ac:dyDescent="0.2">
      <c r="P1022" s="19"/>
    </row>
    <row r="1023" spans="16:16" x14ac:dyDescent="0.2">
      <c r="P1023" s="19"/>
    </row>
    <row r="1024" spans="16:16" x14ac:dyDescent="0.2">
      <c r="P1024" s="19"/>
    </row>
    <row r="1025" spans="16:16" x14ac:dyDescent="0.2">
      <c r="P1025" s="19"/>
    </row>
    <row r="1026" spans="16:16" x14ac:dyDescent="0.2">
      <c r="P1026" s="19"/>
    </row>
    <row r="1027" spans="16:16" x14ac:dyDescent="0.2">
      <c r="P1027" s="19"/>
    </row>
    <row r="1028" spans="16:16" x14ac:dyDescent="0.2">
      <c r="P1028" s="19"/>
    </row>
    <row r="1029" spans="16:16" x14ac:dyDescent="0.2">
      <c r="P1029" s="19"/>
    </row>
    <row r="1030" spans="16:16" x14ac:dyDescent="0.2">
      <c r="P1030" s="19"/>
    </row>
    <row r="1031" spans="16:16" x14ac:dyDescent="0.2">
      <c r="P1031" s="19"/>
    </row>
    <row r="1032" spans="16:16" x14ac:dyDescent="0.2">
      <c r="P1032" s="19"/>
    </row>
    <row r="1033" spans="16:16" x14ac:dyDescent="0.2">
      <c r="P1033" s="19"/>
    </row>
    <row r="1034" spans="16:16" x14ac:dyDescent="0.2">
      <c r="P1034" s="19"/>
    </row>
    <row r="1035" spans="16:16" x14ac:dyDescent="0.2">
      <c r="P1035" s="19"/>
    </row>
    <row r="1036" spans="16:16" x14ac:dyDescent="0.2">
      <c r="P1036" s="19"/>
    </row>
    <row r="1037" spans="16:16" x14ac:dyDescent="0.2">
      <c r="P1037" s="19"/>
    </row>
    <row r="1038" spans="16:16" x14ac:dyDescent="0.2">
      <c r="P1038" s="19"/>
    </row>
    <row r="1039" spans="16:16" x14ac:dyDescent="0.2">
      <c r="P1039" s="1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Screen</vt:lpstr>
      <vt:lpstr>Metrics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Morais</cp:lastModifiedBy>
  <dcterms:modified xsi:type="dcterms:W3CDTF">2026-04-27T21:00:59Z</dcterms:modified>
</cp:coreProperties>
</file>